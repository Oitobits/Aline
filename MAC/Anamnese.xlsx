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/>
  <mc:AlternateContent xmlns:mc="http://schemas.openxmlformats.org/markup-compatibility/2006">
    <mc:Choice Requires="x15">
      <x15ac:absPath xmlns:x15ac="http://schemas.microsoft.com/office/spreadsheetml/2010/11/ac" url="/Users/alineperesdesouza/Desktop/"/>
    </mc:Choice>
  </mc:AlternateContent>
  <xr:revisionPtr revIDLastSave="0" documentId="13_ncr:1_{C8772E80-1F38-DD40-BF19-15F5D1B31D6F}" xr6:coauthVersionLast="47" xr6:coauthVersionMax="47" xr10:uidLastSave="{00000000-0000-0000-0000-000000000000}"/>
  <bookViews>
    <workbookView xWindow="0" yWindow="500" windowWidth="28700" windowHeight="17500" activeTab="2" xr2:uid="{00000000-000D-0000-FFFF-FFFF00000000}"/>
  </bookViews>
  <sheets>
    <sheet name="QPC" sheetId="17" r:id="rId1"/>
    <sheet name="Informações gerais" sheetId="16" r:id="rId2"/>
    <sheet name="Sinais e sintomas " sheetId="18" r:id="rId3"/>
    <sheet name="Exames " sheetId="12" r:id="rId4"/>
    <sheet name="medidas" sheetId="1" state="hidden" r:id="rId5"/>
    <sheet name="Hábitos alimentares" sheetId="19" r:id="rId6"/>
    <sheet name="Antropometria" sheetId="11" r:id="rId7"/>
    <sheet name="Cálculos" sheetId="6" r:id="rId8"/>
    <sheet name="P1" sheetId="5" r:id="rId9"/>
    <sheet name="Formulas" sheetId="7" r:id="rId10"/>
    <sheet name="Porções" sheetId="8" r:id="rId11"/>
    <sheet name="Orientações" sheetId="9" state="hidden" r:id="rId12"/>
    <sheet name="Ganho peso gest" sheetId="20" r:id="rId13"/>
  </sheets>
  <definedNames>
    <definedName name="°CARNE.lanche">Porções!$B$221:$B$231</definedName>
    <definedName name="°LEITE.LIGHT">Porções!$B$79:$B$89</definedName>
    <definedName name="°QUEIJO.light">Porções!$B$99:$B$109</definedName>
    <definedName name="°SUCO.light">Porções!$B$146:$B$152</definedName>
    <definedName name="CARBOIDRATO">Porções!$B$2:$B$65</definedName>
    <definedName name="EVENTUAL">Porções!$B$306:$B$312</definedName>
    <definedName name="Frases">Formulas!$A$1:$A$10</definedName>
    <definedName name="FRUTA">Porções!$B$111:$B$136</definedName>
    <definedName name="GORDURA">Porções!$B$254:$B$268</definedName>
    <definedName name="GRUPOS">Formulas!$C$2:$C$20</definedName>
    <definedName name="LEGUME">Porções!$B$188:$B$204</definedName>
    <definedName name="LEGUMINOSA">Porções!$B$233:$B$238</definedName>
    <definedName name="LEITE">Porções!$B$66:$B$77</definedName>
    <definedName name="OUTROS">Porções!$B$270:$B$279</definedName>
    <definedName name="PASTASºPATÊS">Porções!$B$91:$B$97</definedName>
    <definedName name="PROTEÍNA">Porções!$B$206:$B$219</definedName>
    <definedName name="SEMENTESºFARELOS">Porções!$B$240:$B$252</definedName>
    <definedName name="SUCO">Porções!$B$138:$B$144</definedName>
    <definedName name="SUPLEMENTOS">Porções!$B$281:$B$304</definedName>
    <definedName name="VERDURA">Porções!$B$154:$B$186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2" i="19" l="1"/>
  <c r="B43" i="19"/>
  <c r="B25" i="19"/>
  <c r="B6" i="19"/>
  <c r="B5" i="19"/>
  <c r="B4" i="19"/>
  <c r="B3" i="19"/>
  <c r="B2" i="19"/>
  <c r="B30" i="16"/>
  <c r="B29" i="16"/>
  <c r="B10" i="16"/>
  <c r="B5" i="16"/>
  <c r="B3" i="16"/>
  <c r="H53" i="18"/>
  <c r="C32" i="12"/>
  <c r="B6" i="16"/>
  <c r="B25" i="16"/>
  <c r="B24" i="16"/>
  <c r="B22" i="16"/>
  <c r="B21" i="16"/>
  <c r="B20" i="16"/>
  <c r="B9" i="16"/>
  <c r="B4" i="16"/>
  <c r="C4" i="6" s="1"/>
  <c r="C43" i="12"/>
  <c r="E4" i="6"/>
  <c r="K4" i="6" s="1"/>
  <c r="G4" i="6"/>
  <c r="B13" i="16"/>
  <c r="B14" i="16"/>
  <c r="B15" i="16"/>
  <c r="B17" i="16"/>
  <c r="B16" i="16"/>
  <c r="B23" i="16"/>
  <c r="D2" i="20"/>
  <c r="E2" i="20"/>
  <c r="G2" i="20"/>
  <c r="I2" i="20"/>
  <c r="J2" i="20"/>
  <c r="O2" i="20" s="1"/>
  <c r="L2" i="20"/>
  <c r="N2" i="20"/>
  <c r="Q2" i="20"/>
  <c r="S2" i="20"/>
  <c r="U2" i="20"/>
  <c r="D3" i="20"/>
  <c r="E3" i="20"/>
  <c r="G3" i="20"/>
  <c r="I3" i="20"/>
  <c r="J3" i="20"/>
  <c r="L3" i="20"/>
  <c r="N3" i="20"/>
  <c r="Q3" i="20"/>
  <c r="S3" i="20"/>
  <c r="U3" i="20"/>
  <c r="D4" i="20"/>
  <c r="E4" i="20"/>
  <c r="G4" i="20"/>
  <c r="I4" i="20"/>
  <c r="J4" i="20" s="1"/>
  <c r="O4" i="20" s="1"/>
  <c r="T4" i="20" s="1"/>
  <c r="L4" i="20"/>
  <c r="N4" i="20"/>
  <c r="Q4" i="20"/>
  <c r="S4" i="20"/>
  <c r="U4" i="20"/>
  <c r="D5" i="20"/>
  <c r="E5" i="20"/>
  <c r="G5" i="20"/>
  <c r="I5" i="20"/>
  <c r="J5" i="20" s="1"/>
  <c r="L5" i="20"/>
  <c r="N5" i="20"/>
  <c r="Q5" i="20"/>
  <c r="S5" i="20"/>
  <c r="U5" i="20"/>
  <c r="D6" i="20"/>
  <c r="E6" i="20"/>
  <c r="G6" i="20"/>
  <c r="I6" i="20"/>
  <c r="J6" i="20"/>
  <c r="L6" i="20"/>
  <c r="N6" i="20"/>
  <c r="Q6" i="20"/>
  <c r="S6" i="20"/>
  <c r="U6" i="20"/>
  <c r="D7" i="20"/>
  <c r="E7" i="20"/>
  <c r="G7" i="20"/>
  <c r="I7" i="20"/>
  <c r="J7" i="20" s="1"/>
  <c r="O7" i="20" s="1"/>
  <c r="T7" i="20" s="1"/>
  <c r="L7" i="20"/>
  <c r="N7" i="20"/>
  <c r="Q7" i="20"/>
  <c r="S7" i="20"/>
  <c r="U7" i="20"/>
  <c r="D8" i="20"/>
  <c r="E8" i="20"/>
  <c r="G8" i="20"/>
  <c r="I8" i="20"/>
  <c r="J8" i="20" s="1"/>
  <c r="L8" i="20"/>
  <c r="N8" i="20"/>
  <c r="Q8" i="20"/>
  <c r="S8" i="20"/>
  <c r="U8" i="20"/>
  <c r="D9" i="20"/>
  <c r="E9" i="20"/>
  <c r="G9" i="20"/>
  <c r="I9" i="20"/>
  <c r="J9" i="20"/>
  <c r="L9" i="20"/>
  <c r="N9" i="20"/>
  <c r="Q9" i="20"/>
  <c r="S9" i="20"/>
  <c r="U9" i="20"/>
  <c r="D10" i="20"/>
  <c r="E10" i="20"/>
  <c r="G10" i="20"/>
  <c r="I10" i="20"/>
  <c r="J10" i="20" s="1"/>
  <c r="L10" i="20"/>
  <c r="N10" i="20"/>
  <c r="Q10" i="20"/>
  <c r="S10" i="20"/>
  <c r="U10" i="20"/>
  <c r="D11" i="20"/>
  <c r="E11" i="20"/>
  <c r="G11" i="20"/>
  <c r="I11" i="20"/>
  <c r="J11" i="20"/>
  <c r="L11" i="20"/>
  <c r="N11" i="20"/>
  <c r="Q11" i="20"/>
  <c r="S11" i="20"/>
  <c r="U11" i="20"/>
  <c r="D12" i="20"/>
  <c r="E12" i="20"/>
  <c r="G12" i="20"/>
  <c r="I12" i="20"/>
  <c r="J12" i="20" s="1"/>
  <c r="O12" i="20" s="1"/>
  <c r="L12" i="20"/>
  <c r="N12" i="20"/>
  <c r="Q12" i="20"/>
  <c r="S12" i="20"/>
  <c r="U12" i="20"/>
  <c r="D13" i="20"/>
  <c r="E13" i="20"/>
  <c r="G13" i="20"/>
  <c r="I13" i="20"/>
  <c r="J13" i="20" s="1"/>
  <c r="L13" i="20"/>
  <c r="N13" i="20"/>
  <c r="Q13" i="20"/>
  <c r="S13" i="20"/>
  <c r="U13" i="20"/>
  <c r="D14" i="20"/>
  <c r="E14" i="20"/>
  <c r="G14" i="20"/>
  <c r="I14" i="20"/>
  <c r="J14" i="20" s="1"/>
  <c r="L14" i="20"/>
  <c r="N14" i="20"/>
  <c r="Q14" i="20"/>
  <c r="S14" i="20"/>
  <c r="U14" i="20"/>
  <c r="D15" i="20"/>
  <c r="E15" i="20"/>
  <c r="G15" i="20"/>
  <c r="I15" i="20"/>
  <c r="J15" i="20"/>
  <c r="L15" i="20"/>
  <c r="N15" i="20"/>
  <c r="O15" i="20" s="1"/>
  <c r="T15" i="20" s="1"/>
  <c r="Q15" i="20"/>
  <c r="S15" i="20"/>
  <c r="U15" i="20"/>
  <c r="I22" i="20"/>
  <c r="J22" i="20"/>
  <c r="K22" i="20"/>
  <c r="I53" i="18"/>
  <c r="J53" i="18"/>
  <c r="K53" i="18"/>
  <c r="L53" i="18"/>
  <c r="M53" i="18"/>
  <c r="N53" i="18"/>
  <c r="O53" i="18"/>
  <c r="P53" i="18"/>
  <c r="Q53" i="18"/>
  <c r="B7" i="16"/>
  <c r="B8" i="16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I16" i="6"/>
  <c r="K16" i="6"/>
  <c r="M16" i="6"/>
  <c r="I17" i="6"/>
  <c r="K17" i="6"/>
  <c r="M17" i="6"/>
  <c r="I18" i="6"/>
  <c r="K18" i="6"/>
  <c r="M18" i="6"/>
  <c r="I19" i="6"/>
  <c r="K19" i="6"/>
  <c r="M19" i="6"/>
  <c r="I20" i="6"/>
  <c r="K20" i="6"/>
  <c r="M20" i="6"/>
  <c r="I23" i="6"/>
  <c r="K23" i="6"/>
  <c r="M23" i="6"/>
  <c r="I24" i="6"/>
  <c r="K24" i="6"/>
  <c r="M24" i="6"/>
  <c r="I25" i="6"/>
  <c r="K25" i="6"/>
  <c r="M25" i="6"/>
  <c r="M26" i="6"/>
  <c r="G26" i="6" s="1"/>
  <c r="I21" i="6"/>
  <c r="K21" i="6"/>
  <c r="M21" i="6"/>
  <c r="I22" i="6"/>
  <c r="G22" i="6" s="1"/>
  <c r="K22" i="6"/>
  <c r="M22" i="6"/>
  <c r="E13" i="6"/>
  <c r="AG102" i="6"/>
  <c r="C7" i="6"/>
  <c r="C2" i="6"/>
  <c r="I8" i="5"/>
  <c r="I10" i="5"/>
  <c r="I24" i="5"/>
  <c r="H24" i="5"/>
  <c r="H21" i="5"/>
  <c r="I21" i="5"/>
  <c r="I9" i="5"/>
  <c r="I16" i="5"/>
  <c r="H16" i="5"/>
  <c r="I25" i="5"/>
  <c r="H25" i="5"/>
  <c r="I23" i="5"/>
  <c r="H23" i="5"/>
  <c r="I20" i="5"/>
  <c r="H20" i="5"/>
  <c r="I19" i="5"/>
  <c r="H19" i="5"/>
  <c r="I7" i="5"/>
  <c r="H7" i="5"/>
  <c r="I12" i="5"/>
  <c r="H12" i="5"/>
  <c r="I14" i="5"/>
  <c r="H14" i="5"/>
  <c r="I15" i="5"/>
  <c r="H15" i="5"/>
  <c r="I17" i="5"/>
  <c r="H17" i="5"/>
  <c r="I22" i="5"/>
  <c r="H22" i="5"/>
  <c r="T2" i="5"/>
  <c r="O2" i="5"/>
  <c r="D5" i="1"/>
  <c r="E5" i="1"/>
  <c r="F5" i="1"/>
  <c r="G5" i="1"/>
  <c r="H5" i="1"/>
  <c r="I5" i="1"/>
  <c r="J5" i="1"/>
  <c r="C5" i="1"/>
  <c r="D4" i="1"/>
  <c r="D18" i="1" s="1"/>
  <c r="E4" i="1"/>
  <c r="E18" i="1"/>
  <c r="F4" i="1"/>
  <c r="F18" i="1" s="1"/>
  <c r="G4" i="1"/>
  <c r="G18" i="1" s="1"/>
  <c r="H4" i="1"/>
  <c r="H18" i="1" s="1"/>
  <c r="I4" i="1"/>
  <c r="I18" i="1" s="1"/>
  <c r="J4" i="1"/>
  <c r="J18" i="1" s="1"/>
  <c r="C4" i="1"/>
  <c r="C18" i="1" s="1"/>
  <c r="D6" i="1"/>
  <c r="D14" i="1" s="1"/>
  <c r="D15" i="1" s="1"/>
  <c r="D17" i="1" s="1"/>
  <c r="E6" i="1"/>
  <c r="E14" i="1" s="1"/>
  <c r="F6" i="1"/>
  <c r="F14" i="1" s="1"/>
  <c r="G6" i="1"/>
  <c r="G14" i="1" s="1"/>
  <c r="H6" i="1"/>
  <c r="H14" i="1" s="1"/>
  <c r="I6" i="1"/>
  <c r="I14" i="1"/>
  <c r="I15" i="1" s="1"/>
  <c r="I17" i="1" s="1"/>
  <c r="J6" i="1"/>
  <c r="J14" i="1" s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C7" i="1"/>
  <c r="C8" i="1"/>
  <c r="C9" i="1"/>
  <c r="C10" i="1"/>
  <c r="C11" i="1"/>
  <c r="C12" i="1"/>
  <c r="C6" i="1"/>
  <c r="C14" i="1" s="1"/>
  <c r="O14" i="20" l="1"/>
  <c r="T14" i="20" s="1"/>
  <c r="T12" i="20"/>
  <c r="G23" i="6"/>
  <c r="G18" i="6"/>
  <c r="I13" i="6"/>
  <c r="M7" i="6" s="1"/>
  <c r="O10" i="20"/>
  <c r="T10" i="20" s="1"/>
  <c r="O9" i="20"/>
  <c r="T9" i="20" s="1"/>
  <c r="O5" i="20"/>
  <c r="T5" i="20" s="1"/>
  <c r="G16" i="1"/>
  <c r="G15" i="1"/>
  <c r="G17" i="1" s="1"/>
  <c r="F16" i="1"/>
  <c r="F15" i="1"/>
  <c r="F17" i="1" s="1"/>
  <c r="C16" i="1"/>
  <c r="C15" i="1"/>
  <c r="C17" i="1" s="1"/>
  <c r="O11" i="20"/>
  <c r="T11" i="20" s="1"/>
  <c r="O8" i="20"/>
  <c r="T8" i="20" s="1"/>
  <c r="G25" i="6"/>
  <c r="G20" i="6"/>
  <c r="G21" i="6"/>
  <c r="K13" i="6"/>
  <c r="O3" i="20"/>
  <c r="T3" i="20" s="1"/>
  <c r="G24" i="6"/>
  <c r="G17" i="6"/>
  <c r="O13" i="20"/>
  <c r="T13" i="20" s="1"/>
  <c r="O6" i="20"/>
  <c r="T6" i="20" s="1"/>
  <c r="G19" i="6"/>
  <c r="G16" i="6"/>
  <c r="M13" i="6"/>
  <c r="H15" i="1"/>
  <c r="H17" i="1" s="1"/>
  <c r="H16" i="1"/>
  <c r="H19" i="1" s="1"/>
  <c r="H20" i="1" s="1"/>
  <c r="C13" i="11"/>
  <c r="M4" i="6"/>
  <c r="E16" i="1"/>
  <c r="E15" i="1"/>
  <c r="E17" i="1" s="1"/>
  <c r="J15" i="1"/>
  <c r="J17" i="1" s="1"/>
  <c r="J16" i="1"/>
  <c r="J19" i="1" s="1"/>
  <c r="J20" i="1" s="1"/>
  <c r="J23" i="20"/>
  <c r="T2" i="20"/>
  <c r="K23" i="20" s="1"/>
  <c r="AK102" i="6"/>
  <c r="AH105" i="6"/>
  <c r="AJ105" i="6"/>
  <c r="AH104" i="6"/>
  <c r="AH102" i="6"/>
  <c r="AJ104" i="6"/>
  <c r="AJ102" i="6"/>
  <c r="AH103" i="6"/>
  <c r="AJ103" i="6"/>
  <c r="AI104" i="6"/>
  <c r="AI102" i="6"/>
  <c r="AK104" i="6"/>
  <c r="AI103" i="6"/>
  <c r="AI105" i="6"/>
  <c r="AK103" i="6"/>
  <c r="AK105" i="6"/>
  <c r="I16" i="1"/>
  <c r="I19" i="1" s="1"/>
  <c r="I20" i="1" s="1"/>
  <c r="I23" i="20"/>
  <c r="D16" i="1"/>
  <c r="D19" i="1" s="1"/>
  <c r="D20" i="1" s="1"/>
  <c r="F19" i="1" l="1"/>
  <c r="F20" i="1" s="1"/>
  <c r="G13" i="6"/>
  <c r="E7" i="6" s="1"/>
  <c r="K7" i="6" s="1"/>
  <c r="C19" i="1"/>
  <c r="C20" i="1" s="1"/>
  <c r="G19" i="1"/>
  <c r="G20" i="1" s="1"/>
  <c r="F21" i="1"/>
  <c r="F22" i="1"/>
  <c r="F23" i="1" s="1"/>
  <c r="F25" i="1" s="1"/>
  <c r="F24" i="1" s="1"/>
  <c r="AG105" i="6"/>
  <c r="AB104" i="6"/>
  <c r="AG103" i="6"/>
  <c r="AB105" i="6"/>
  <c r="AG104" i="6"/>
  <c r="AB103" i="6"/>
  <c r="AB102" i="6"/>
  <c r="G7" i="6"/>
  <c r="I22" i="1"/>
  <c r="I23" i="1" s="1"/>
  <c r="I25" i="1" s="1"/>
  <c r="I24" i="1" s="1"/>
  <c r="I21" i="1"/>
  <c r="D21" i="1"/>
  <c r="D22" i="1"/>
  <c r="D23" i="1" s="1"/>
  <c r="D25" i="1" s="1"/>
  <c r="D24" i="1" s="1"/>
  <c r="E19" i="1"/>
  <c r="E20" i="1" s="1"/>
  <c r="I7" i="6"/>
  <c r="J22" i="1"/>
  <c r="J23" i="1" s="1"/>
  <c r="J25" i="1" s="1"/>
  <c r="J24" i="1" s="1"/>
  <c r="J21" i="1"/>
  <c r="H22" i="1"/>
  <c r="H23" i="1" s="1"/>
  <c r="H25" i="1" s="1"/>
  <c r="H24" i="1" s="1"/>
  <c r="H21" i="1"/>
  <c r="G21" i="1" l="1"/>
  <c r="G22" i="1"/>
  <c r="G23" i="1" s="1"/>
  <c r="G25" i="1" s="1"/>
  <c r="G24" i="1" s="1"/>
  <c r="C22" i="1"/>
  <c r="C23" i="1" s="1"/>
  <c r="C25" i="1" s="1"/>
  <c r="C24" i="1" s="1"/>
  <c r="C21" i="1"/>
  <c r="E21" i="1"/>
  <c r="E22" i="1"/>
  <c r="E23" i="1" s="1"/>
  <c r="E25" i="1" s="1"/>
  <c r="E24" i="1" s="1"/>
</calcChain>
</file>

<file path=xl/sharedStrings.xml><?xml version="1.0" encoding="utf-8"?>
<sst xmlns="http://schemas.openxmlformats.org/spreadsheetml/2006/main" count="1156" uniqueCount="834">
  <si>
    <t>Panturrilha</t>
  </si>
  <si>
    <t>MLG (kg)</t>
  </si>
  <si>
    <t>Tríceps</t>
  </si>
  <si>
    <t>Peitoral</t>
  </si>
  <si>
    <t>Subescapular</t>
  </si>
  <si>
    <t>Supraíliaca</t>
  </si>
  <si>
    <t>Abdominal</t>
  </si>
  <si>
    <t>Coxa</t>
  </si>
  <si>
    <t>Data</t>
  </si>
  <si>
    <t>Cálculos Pollock</t>
  </si>
  <si>
    <t>DC</t>
  </si>
  <si>
    <t>DC²</t>
  </si>
  <si>
    <t>0,00000056 x DC²</t>
  </si>
  <si>
    <t>0,00012828xI</t>
  </si>
  <si>
    <t>IDADE</t>
  </si>
  <si>
    <t>0,0004697 x DC</t>
  </si>
  <si>
    <t>DENSIDADE</t>
  </si>
  <si>
    <t>%GORDURA</t>
  </si>
  <si>
    <t>CALCULOG</t>
  </si>
  <si>
    <t>MASSA LIVRE</t>
  </si>
  <si>
    <t>-</t>
  </si>
  <si>
    <t>GORDURA (kg)</t>
  </si>
  <si>
    <t>PESO</t>
  </si>
  <si>
    <t>Paciente:</t>
  </si>
  <si>
    <t>Data de Nascimento:</t>
  </si>
  <si>
    <t>Tabagismo:</t>
  </si>
  <si>
    <t>Data:</t>
  </si>
  <si>
    <t>Grupos</t>
  </si>
  <si>
    <t>Porções</t>
  </si>
  <si>
    <t>kcal</t>
  </si>
  <si>
    <t>PTN</t>
  </si>
  <si>
    <t>CHO</t>
  </si>
  <si>
    <t>LIP</t>
  </si>
  <si>
    <t>Cereal</t>
  </si>
  <si>
    <t>Fruta</t>
  </si>
  <si>
    <t>Fruta Suco</t>
  </si>
  <si>
    <t>Verdura</t>
  </si>
  <si>
    <t>Legume</t>
  </si>
  <si>
    <t>CAF</t>
  </si>
  <si>
    <t>Leite integral</t>
  </si>
  <si>
    <t>Leite desnatado</t>
  </si>
  <si>
    <t>Queijo</t>
  </si>
  <si>
    <t>Leguminosa</t>
  </si>
  <si>
    <t>Gordura</t>
  </si>
  <si>
    <t>Grupo</t>
  </si>
  <si>
    <t>VERDURA</t>
  </si>
  <si>
    <t>LEGUME</t>
  </si>
  <si>
    <t>FRUTA</t>
  </si>
  <si>
    <t>°SUCO.light</t>
  </si>
  <si>
    <t>°CARNE.lanche</t>
  </si>
  <si>
    <t>LEGUMINOSA</t>
  </si>
  <si>
    <t>Refeição</t>
  </si>
  <si>
    <t>Horário</t>
  </si>
  <si>
    <t>Porção</t>
  </si>
  <si>
    <t>Alimento</t>
  </si>
  <si>
    <t>Quantidade</t>
  </si>
  <si>
    <t>Medida Caseira</t>
  </si>
  <si>
    <t>Banana</t>
  </si>
  <si>
    <t>Peito de peru</t>
  </si>
  <si>
    <t>Mamão formosa</t>
  </si>
  <si>
    <t>Suco light ou de polpa sem açúcar</t>
  </si>
  <si>
    <t>Uva passa</t>
  </si>
  <si>
    <t>Arroz integral</t>
  </si>
  <si>
    <t>Feijão</t>
  </si>
  <si>
    <t>Carne magra</t>
  </si>
  <si>
    <t>Brócolis/Tomate cereja/Orégano</t>
  </si>
  <si>
    <t>Cenoura/Beterraba</t>
  </si>
  <si>
    <t>Iogurte desnatado  (± 75kcal)</t>
  </si>
  <si>
    <t>Granola/ Muslix</t>
  </si>
  <si>
    <t>Frango grelhado</t>
  </si>
  <si>
    <t>Verduras</t>
  </si>
  <si>
    <t>Legumes</t>
  </si>
  <si>
    <t>Ades Original</t>
  </si>
  <si>
    <t>Mantenha uma alimentação saudável e colorida!</t>
  </si>
  <si>
    <t>Beba pelo menos 2 litros de água por dia. Se necessário, carregue uma garrafinha com você.</t>
  </si>
  <si>
    <t>SUCO</t>
  </si>
  <si>
    <t>LEITE</t>
  </si>
  <si>
    <t>°QUEIJO.light</t>
  </si>
  <si>
    <t>GORDURA</t>
  </si>
  <si>
    <t>OUTROS</t>
  </si>
  <si>
    <t>SUPLEMENTOS</t>
  </si>
  <si>
    <t>EVENTUAL</t>
  </si>
  <si>
    <t>Medidas caseiras</t>
  </si>
  <si>
    <t>"Mabel" 100calorias/"eQlibri" cracker</t>
  </si>
  <si>
    <t>pacotinho (23g)</t>
  </si>
  <si>
    <t>colher(es) de sopa</t>
  </si>
  <si>
    <t>Arroz</t>
  </si>
  <si>
    <t>colher(es) de servir</t>
  </si>
  <si>
    <t>°Arroz</t>
  </si>
  <si>
    <t>Arroz branco/integral</t>
  </si>
  <si>
    <t>Aveia</t>
  </si>
  <si>
    <t>Batata cozida</t>
  </si>
  <si>
    <t>°Batata cozida</t>
  </si>
  <si>
    <t xml:space="preserve">Biscoito "Aveia e Mel" Nestlé </t>
  </si>
  <si>
    <t>unidade(s)</t>
  </si>
  <si>
    <t>Biscoito "eQlibri" cracker</t>
  </si>
  <si>
    <t>pacotinho(s)</t>
  </si>
  <si>
    <t xml:space="preserve">Biscoito "Pit Stop" </t>
  </si>
  <si>
    <t>Biscoito "Pit Stop" integral</t>
  </si>
  <si>
    <t>Biscoito "single pack" (ex.: club social)</t>
  </si>
  <si>
    <t>Biscoito cream cracker light "bauducco"</t>
  </si>
  <si>
    <t>Biscoito de polvilho "peta"</t>
  </si>
  <si>
    <t>Biscoito doce "não recheado"</t>
  </si>
  <si>
    <t>Biscoito integral "combina com" Nestlé</t>
  </si>
  <si>
    <t>Bisnaguinha</t>
  </si>
  <si>
    <t>Cará</t>
  </si>
  <si>
    <r>
      <t>Cereal em barra (</t>
    </r>
    <r>
      <rPr>
        <sz val="8"/>
        <color indexed="8"/>
        <rFont val="Verdana"/>
        <family val="2"/>
      </rPr>
      <t xml:space="preserve">± </t>
    </r>
    <r>
      <rPr>
        <sz val="8"/>
        <color indexed="8"/>
        <rFont val="Arial"/>
        <family val="2"/>
      </rPr>
      <t>90kcal a unidade)</t>
    </r>
  </si>
  <si>
    <t>Cereal matinal</t>
  </si>
  <si>
    <t>xícara(s) de chá</t>
  </si>
  <si>
    <t>Cereal matinal "Fibra mais"</t>
  </si>
  <si>
    <t xml:space="preserve">Cereal matinal "Nesfit" </t>
  </si>
  <si>
    <t>Cereal matinal "Nesfit" integral</t>
  </si>
  <si>
    <t>Cookies "Taeq"</t>
  </si>
  <si>
    <t>pacotinho (40g)</t>
  </si>
  <si>
    <t>Cookies Caseiros</t>
  </si>
  <si>
    <t>Cookies integrais</t>
  </si>
  <si>
    <t>Farelo de Aveia</t>
  </si>
  <si>
    <t>Farinha de mandioca</t>
  </si>
  <si>
    <t>Farinhas lácteas</t>
  </si>
  <si>
    <t>Goiabinha "Bauducco"</t>
  </si>
  <si>
    <t>Inhame</t>
  </si>
  <si>
    <t xml:space="preserve">Macarrão (com molho de tomate) </t>
  </si>
  <si>
    <t>pegador(es)</t>
  </si>
  <si>
    <t>Macarrão espaguete</t>
  </si>
  <si>
    <t>Macarrão penne/parafuso</t>
  </si>
  <si>
    <t>Macarrão penne/parafuso integral</t>
  </si>
  <si>
    <t>Mandioca</t>
  </si>
  <si>
    <t>Milho</t>
  </si>
  <si>
    <t>fatia(s)</t>
  </si>
  <si>
    <t>Pão de forma integral</t>
  </si>
  <si>
    <t>Pão francês</t>
  </si>
  <si>
    <t>Pão francês sem miolo</t>
  </si>
  <si>
    <r>
      <t>Pão integral light (</t>
    </r>
    <r>
      <rPr>
        <sz val="8"/>
        <color indexed="8"/>
        <rFont val="Verdana"/>
        <family val="2"/>
      </rPr>
      <t>±</t>
    </r>
    <r>
      <rPr>
        <sz val="8"/>
        <color indexed="8"/>
        <rFont val="Arial"/>
        <family val="2"/>
      </rPr>
      <t xml:space="preserve"> 40kcal a fatia)</t>
    </r>
  </si>
  <si>
    <t>Pão sírio integral</t>
  </si>
  <si>
    <t>unidade(s) (50g)</t>
  </si>
  <si>
    <t xml:space="preserve">Pizza de frigideira  </t>
  </si>
  <si>
    <t>Pizza de frigideira light</t>
  </si>
  <si>
    <t>Purê de batata</t>
  </si>
  <si>
    <t>Quinua</t>
  </si>
  <si>
    <t>Rap 10 integral</t>
  </si>
  <si>
    <t>Rap 10 light</t>
  </si>
  <si>
    <t>Tapioca/Beiju</t>
  </si>
  <si>
    <t>Torrada</t>
  </si>
  <si>
    <t>Torrada Bauducco</t>
  </si>
  <si>
    <t>Torrada wickbold</t>
  </si>
  <si>
    <t>copo(s) (200ml)</t>
  </si>
  <si>
    <t>Chia</t>
  </si>
  <si>
    <t>colher(s) de sopa</t>
  </si>
  <si>
    <t>Coalhada</t>
  </si>
  <si>
    <t>potinho/garrafinha</t>
  </si>
  <si>
    <t>Leite de soja</t>
  </si>
  <si>
    <t>Leite de vaca</t>
  </si>
  <si>
    <t>Leite em pó</t>
  </si>
  <si>
    <t>Sollys</t>
  </si>
  <si>
    <t>Soymilke</t>
  </si>
  <si>
    <t>Supra soy</t>
  </si>
  <si>
    <t>Coalhada light</t>
  </si>
  <si>
    <t>Iogurte "Naturis" Soja</t>
  </si>
  <si>
    <t xml:space="preserve">potinho </t>
  </si>
  <si>
    <t>Iogurte light (± 75kcal)</t>
  </si>
  <si>
    <t>Leite em pó desnatado</t>
  </si>
  <si>
    <t>colhe(es) de sopa</t>
  </si>
  <si>
    <t>Leite Zymil ou Sensy</t>
  </si>
  <si>
    <t>Supra Soy sem lactose light</t>
  </si>
  <si>
    <t>pedaço(s) médio(s)</t>
  </si>
  <si>
    <t>fatia(s) fina(s)</t>
  </si>
  <si>
    <t>Polenguinho light</t>
  </si>
  <si>
    <t>unidade</t>
  </si>
  <si>
    <t>Queijo "frescatino" / "danúbio light</t>
  </si>
  <si>
    <t>Queijo cottage</t>
  </si>
  <si>
    <t>Queijo minas frescal</t>
  </si>
  <si>
    <t>fatia(s) média(s)</t>
  </si>
  <si>
    <t>Queijo mussarela light</t>
  </si>
  <si>
    <t>Queijo parmesão ralado light</t>
  </si>
  <si>
    <t>Requeijão light</t>
  </si>
  <si>
    <t>colher(es) de chá</t>
  </si>
  <si>
    <t>Ricota</t>
  </si>
  <si>
    <t xml:space="preserve">fatia(s) média(s) </t>
  </si>
  <si>
    <t>Tofu</t>
  </si>
  <si>
    <t>Abacaxi</t>
  </si>
  <si>
    <t>Ameixa preta</t>
  </si>
  <si>
    <t>Ameixa seca</t>
  </si>
  <si>
    <t>Banana passa</t>
  </si>
  <si>
    <t>Caqui</t>
  </si>
  <si>
    <t>Damasco seco</t>
  </si>
  <si>
    <t>Goiaba</t>
  </si>
  <si>
    <t>Kiwi</t>
  </si>
  <si>
    <t>Laranja</t>
  </si>
  <si>
    <t>Maçã</t>
  </si>
  <si>
    <t>Maçã verde</t>
  </si>
  <si>
    <t>Mamão papaya</t>
  </si>
  <si>
    <t>Manga</t>
  </si>
  <si>
    <t>unidade(s) pequena(s)</t>
  </si>
  <si>
    <t>Melancia</t>
  </si>
  <si>
    <t>fatia(s) grande(s)</t>
  </si>
  <si>
    <t>Melão</t>
  </si>
  <si>
    <t>Morango</t>
  </si>
  <si>
    <t>Pêra</t>
  </si>
  <si>
    <t>Salada de fruta</t>
  </si>
  <si>
    <t>potinho(200ml)</t>
  </si>
  <si>
    <t>Supino light</t>
  </si>
  <si>
    <t>Tangerina</t>
  </si>
  <si>
    <t>Uva</t>
  </si>
  <si>
    <t>copo(s) de 200ml</t>
  </si>
  <si>
    <t>copo/1 caixinha(200ml)</t>
  </si>
  <si>
    <t>Suco de frutas</t>
  </si>
  <si>
    <t>copo(s) 200ml</t>
  </si>
  <si>
    <t>Suco de uva integral</t>
  </si>
  <si>
    <t>Água de coco</t>
  </si>
  <si>
    <t>Suco de "garrafa" sem açúcar</t>
  </si>
  <si>
    <t>Suco de polpa sem açúcar</t>
  </si>
  <si>
    <t>Suco light de caixinha</t>
  </si>
  <si>
    <t>pires ou mais</t>
  </si>
  <si>
    <t>Acelga</t>
  </si>
  <si>
    <t>Agrião</t>
  </si>
  <si>
    <t>Alface</t>
  </si>
  <si>
    <t>Alface/Tomate/Cebola</t>
  </si>
  <si>
    <t>Alface/Tomate/Champignon</t>
  </si>
  <si>
    <t>Alface/Tomate/Palmito</t>
  </si>
  <si>
    <t>Berinjela</t>
  </si>
  <si>
    <t>Berinjela e azeitona</t>
  </si>
  <si>
    <t>Brócolis cozido</t>
  </si>
  <si>
    <t xml:space="preserve">Brotos </t>
  </si>
  <si>
    <t>Cebola</t>
  </si>
  <si>
    <t>Cebola/Tomate/Pimentão</t>
  </si>
  <si>
    <t>Champignon</t>
  </si>
  <si>
    <t>Champignon/Tomate/Orégano</t>
  </si>
  <si>
    <t>Chicória</t>
  </si>
  <si>
    <t>Couve</t>
  </si>
  <si>
    <t>Couve-flor</t>
  </si>
  <si>
    <t>Espinafre</t>
  </si>
  <si>
    <t>Jiló</t>
  </si>
  <si>
    <t>Maxixe</t>
  </si>
  <si>
    <t>Palmito</t>
  </si>
  <si>
    <t>Palmito/Tomate/Manjericão</t>
  </si>
  <si>
    <t>Pepino</t>
  </si>
  <si>
    <t>Pimentão</t>
  </si>
  <si>
    <t>Rabanete</t>
  </si>
  <si>
    <t xml:space="preserve">Repolho </t>
  </si>
  <si>
    <t>Rúcula/Tomate/Champignon</t>
  </si>
  <si>
    <t>Tomate</t>
  </si>
  <si>
    <t>Tomate cereja</t>
  </si>
  <si>
    <t>Abóbora</t>
  </si>
  <si>
    <t>Abóbora/Vagem</t>
  </si>
  <si>
    <t>Abobrinha</t>
  </si>
  <si>
    <t>Abobrinha/Quiabo</t>
  </si>
  <si>
    <t>Beterraba</t>
  </si>
  <si>
    <t>Cenoura</t>
  </si>
  <si>
    <t>Cenoura/Ervilha</t>
  </si>
  <si>
    <t>Chuchu</t>
  </si>
  <si>
    <t>Chuchu/Ervilha</t>
  </si>
  <si>
    <t xml:space="preserve">Ervilha  </t>
  </si>
  <si>
    <t>Legumes cozidos</t>
  </si>
  <si>
    <t>Quiabo</t>
  </si>
  <si>
    <t>Vagem</t>
  </si>
  <si>
    <t>Almôndega</t>
  </si>
  <si>
    <t>Peixe cozido/grelhado</t>
  </si>
  <si>
    <t>pedaço(s) grande(s)</t>
  </si>
  <si>
    <t>Atum light</t>
  </si>
  <si>
    <t>Blanquet de peru</t>
  </si>
  <si>
    <t>rodela(s)</t>
  </si>
  <si>
    <t>Chester fatiado</t>
  </si>
  <si>
    <t>Presunto</t>
  </si>
  <si>
    <t>Presunto light</t>
  </si>
  <si>
    <t>Salsicha de ave</t>
  </si>
  <si>
    <t>Sardinha</t>
  </si>
  <si>
    <t>latinha(s)</t>
  </si>
  <si>
    <t>concha(s) média(s)</t>
  </si>
  <si>
    <t>Grão de bico</t>
  </si>
  <si>
    <t>Lentilha</t>
  </si>
  <si>
    <t>Soja</t>
  </si>
  <si>
    <t>colher de sobremesa</t>
  </si>
  <si>
    <t>Amêndoas</t>
  </si>
  <si>
    <t>Castanha de caju</t>
  </si>
  <si>
    <t>Castanha do pará</t>
  </si>
  <si>
    <t>ponta(s) de faca</t>
  </si>
  <si>
    <t>Manteiga/Margarina</t>
  </si>
  <si>
    <t>Óleos vegetais</t>
  </si>
  <si>
    <t>Café (sem açúcar) *</t>
  </si>
  <si>
    <t>xícara de chá (200ml)</t>
  </si>
  <si>
    <t>Canela</t>
  </si>
  <si>
    <t>pitada</t>
  </si>
  <si>
    <t>Chá light (ex.: Nestea light/Mate diet)</t>
  </si>
  <si>
    <t>copo(200ml)</t>
  </si>
  <si>
    <t>copo/xícara (200ml)</t>
  </si>
  <si>
    <t>Molho para salada light</t>
  </si>
  <si>
    <t>Suco clight</t>
  </si>
  <si>
    <t>Accelerade (Pacific health)</t>
  </si>
  <si>
    <t>medida(s) em 500ml</t>
  </si>
  <si>
    <t>Barra de proteína VO2</t>
  </si>
  <si>
    <t xml:space="preserve">BCAA  </t>
  </si>
  <si>
    <t>cápsulas</t>
  </si>
  <si>
    <t>BCAA stack (Universal)</t>
  </si>
  <si>
    <t>Endurox R4 (Pacific health)</t>
  </si>
  <si>
    <t xml:space="preserve">medida(s)  </t>
  </si>
  <si>
    <t>Exceed Protein bar</t>
  </si>
  <si>
    <t>Gel de carboidrato</t>
  </si>
  <si>
    <t>sachê</t>
  </si>
  <si>
    <t>Glutamina</t>
  </si>
  <si>
    <t>colher de chá (5g)</t>
  </si>
  <si>
    <t>Isofort (Vitafort)</t>
  </si>
  <si>
    <t>medida(s) (30g)</t>
  </si>
  <si>
    <t>Isotônico</t>
  </si>
  <si>
    <t>500ml</t>
  </si>
  <si>
    <t>Maltodextrina</t>
  </si>
  <si>
    <t>Na Dyn (Dynamic Lab)</t>
  </si>
  <si>
    <t>medida</t>
  </si>
  <si>
    <t>Performass (Performance Nutrition)</t>
  </si>
  <si>
    <t>medidor(es) (113g)</t>
  </si>
  <si>
    <t xml:space="preserve">Soy Protein </t>
  </si>
  <si>
    <t xml:space="preserve">medidor(es)  </t>
  </si>
  <si>
    <t>Soy Protein (Performance Nutrition)</t>
  </si>
  <si>
    <t>Soydyn (Dynamic Lab)</t>
  </si>
  <si>
    <t>medidor(es)</t>
  </si>
  <si>
    <t>Sportdrink</t>
  </si>
  <si>
    <t>medida em 500ml</t>
  </si>
  <si>
    <t>Sustagen</t>
  </si>
  <si>
    <t>Trio Protein bar</t>
  </si>
  <si>
    <t>Whey Gel Speed Release</t>
  </si>
  <si>
    <t>Whey Protein</t>
  </si>
  <si>
    <t>°LEITE.LIGHT</t>
  </si>
  <si>
    <t>°SUCO.LIGHT</t>
  </si>
  <si>
    <t>°QUEIJO.LIGHT</t>
  </si>
  <si>
    <t>°CARNE.LANCHE</t>
  </si>
  <si>
    <t>"Inunde" seu corpo de vitaminas e minerais de 3 em 3 horas!</t>
  </si>
  <si>
    <t>Restrinja o consumo de carne vermelha para no máximo 2 ou 3 vezes por semana.</t>
  </si>
  <si>
    <t>Para aumentar a sensação de saciedade, coma primeiramente a salada e mastigue devagar!</t>
  </si>
  <si>
    <t>Crie o hábito de ter uma rotina regular. Uma informação nutricional precisa faz bem à saúde!</t>
  </si>
  <si>
    <t>Varie a alimentação e alterne as opções de alimentos de acordo com a lista de substituições.</t>
  </si>
  <si>
    <t>Manter uma boa alimentação é ideal para o fortalecimento do sistema imunológico!</t>
  </si>
  <si>
    <t>Uma alimentação balanceada permite a perda de peso saudável e definitiva. Coloque-a como prioridade na sua rotina.</t>
  </si>
  <si>
    <t xml:space="preserve">Plano Alimentar </t>
  </si>
  <si>
    <t>Cookies sem glúten</t>
  </si>
  <si>
    <t>Cereal em barra sem glúten</t>
  </si>
  <si>
    <t>Cuscuz</t>
  </si>
  <si>
    <t>Pão sem glúten</t>
  </si>
  <si>
    <t>Glicofiber (Sanavita)</t>
  </si>
  <si>
    <t>colher(es) de sobremesa</t>
  </si>
  <si>
    <t>SEMENTES</t>
  </si>
  <si>
    <t>Semente/farinha de Chia</t>
  </si>
  <si>
    <t>Gergelim</t>
  </si>
  <si>
    <t xml:space="preserve">Semente de girassol </t>
  </si>
  <si>
    <t>Semente de abóbora</t>
  </si>
  <si>
    <t>colher de sopa</t>
  </si>
  <si>
    <t>Café da manhã</t>
  </si>
  <si>
    <t>Lanche da manhã</t>
  </si>
  <si>
    <t>Almoço</t>
  </si>
  <si>
    <t>Suco especial</t>
  </si>
  <si>
    <t>Linhaça ou  Chia</t>
  </si>
  <si>
    <t>Leite de arroz ou gergelim</t>
  </si>
  <si>
    <t>Linhaça ou Chia</t>
  </si>
  <si>
    <t>Ovo mexido</t>
  </si>
  <si>
    <t>CARBOIDRATO</t>
  </si>
  <si>
    <t>PROTEÍNA</t>
  </si>
  <si>
    <t>Frango desfiado</t>
  </si>
  <si>
    <t>Sadinha ou Atum</t>
  </si>
  <si>
    <t>Carne ou Frango</t>
  </si>
  <si>
    <t>lata</t>
  </si>
  <si>
    <t>Ovo(s) cozido(s)</t>
  </si>
  <si>
    <t>Ovos de codorna</t>
  </si>
  <si>
    <t>Omelete</t>
  </si>
  <si>
    <t>1 ovo inteiro e 2 claras</t>
  </si>
  <si>
    <t>fatias</t>
  </si>
  <si>
    <t>fatia grande</t>
  </si>
  <si>
    <t>Azeite ou óleo de coco</t>
  </si>
  <si>
    <t>Nozes</t>
  </si>
  <si>
    <t>Avelã</t>
  </si>
  <si>
    <t>Castanha de baru</t>
  </si>
  <si>
    <t xml:space="preserve">Macadâmia </t>
  </si>
  <si>
    <t>Pistache</t>
  </si>
  <si>
    <t>Mangeiga</t>
  </si>
  <si>
    <t>Chocolate amargo</t>
  </si>
  <si>
    <t>quadradinho (20g)</t>
  </si>
  <si>
    <t>Amaranto em flocos</t>
  </si>
  <si>
    <t>Batata doce cozida</t>
  </si>
  <si>
    <t>Batata yacon</t>
  </si>
  <si>
    <t>pacotinho</t>
  </si>
  <si>
    <t>Geléia sem açúcar</t>
  </si>
  <si>
    <t>Patês</t>
  </si>
  <si>
    <t>Pasta de tofu</t>
  </si>
  <si>
    <t>Tahine</t>
  </si>
  <si>
    <t>Suco verde</t>
  </si>
  <si>
    <t>Semente de girassol</t>
  </si>
  <si>
    <t>Linhaça triturada</t>
  </si>
  <si>
    <t>Semente de chia</t>
  </si>
  <si>
    <t>Semente de Uva</t>
  </si>
  <si>
    <t>Semente de maracujá</t>
  </si>
  <si>
    <t>Semente de berinjela</t>
  </si>
  <si>
    <t>Semente de gergelim</t>
  </si>
  <si>
    <t>Gérmem de trigo</t>
  </si>
  <si>
    <t>Farinha de banana verde</t>
  </si>
  <si>
    <t>Farinha de casca da laranja</t>
  </si>
  <si>
    <t>SEMENTESºFARELOS</t>
  </si>
  <si>
    <t>PASTASºPATÊS</t>
  </si>
  <si>
    <t>xícara de chá (200 ml)</t>
  </si>
  <si>
    <t>&gt;&gt; Atente-se às orientações do seu plano alimentar &lt;&lt;</t>
  </si>
  <si>
    <t>Ceia</t>
  </si>
  <si>
    <t>Chá de espinheira santa</t>
  </si>
  <si>
    <t>Chá de hibisco vermelho</t>
  </si>
  <si>
    <t>Lanche da noite</t>
  </si>
  <si>
    <t>Iogurte ou leite</t>
  </si>
  <si>
    <t>porção de 200 ml</t>
  </si>
  <si>
    <t xml:space="preserve">Queijo branco / ricota </t>
  </si>
  <si>
    <t xml:space="preserve">Nome: </t>
  </si>
  <si>
    <t xml:space="preserve">Opções </t>
  </si>
  <si>
    <t>Plaquetas</t>
  </si>
  <si>
    <t>Ácido úrico</t>
  </si>
  <si>
    <t>Hemoglobina</t>
  </si>
  <si>
    <t>Hematócrito</t>
  </si>
  <si>
    <t>Peso</t>
  </si>
  <si>
    <t>IMC</t>
  </si>
  <si>
    <t>Braço</t>
  </si>
  <si>
    <t>Cintura</t>
  </si>
  <si>
    <t>Abdômen</t>
  </si>
  <si>
    <t>Grandes mudanças!</t>
  </si>
  <si>
    <t>Idade 
(anos)</t>
  </si>
  <si>
    <t>Peso
(kg)</t>
  </si>
  <si>
    <t>Altura
(cm)</t>
  </si>
  <si>
    <t>IMC
(kg/m²)</t>
  </si>
  <si>
    <t>Classe
(OMS)</t>
  </si>
  <si>
    <t>Sedentário</t>
  </si>
  <si>
    <t>Pouco Ativo</t>
  </si>
  <si>
    <t>Ativo</t>
  </si>
  <si>
    <t>Muito Ativo</t>
  </si>
  <si>
    <t>P1</t>
  </si>
  <si>
    <t>P2</t>
  </si>
  <si>
    <t>DB</t>
  </si>
  <si>
    <t>Atividade
Fisica</t>
  </si>
  <si>
    <t>EER</t>
  </si>
  <si>
    <t>Homem</t>
  </si>
  <si>
    <t>Mulher</t>
  </si>
  <si>
    <t>kcal
(EER)</t>
  </si>
  <si>
    <t>kcal
(Plano)</t>
  </si>
  <si>
    <t>PTN
(Plano)</t>
  </si>
  <si>
    <t>CHO
(Plano)</t>
  </si>
  <si>
    <t>LIP
(Plano)</t>
  </si>
  <si>
    <t>Plano Alimentar</t>
  </si>
  <si>
    <t>Totais</t>
  </si>
  <si>
    <t>Carne</t>
  </si>
  <si>
    <t>PTN
(g/kg)</t>
  </si>
  <si>
    <t xml:space="preserve">EXAMES LABORATORIAIS </t>
  </si>
  <si>
    <t>PARÂMETROS</t>
  </si>
  <si>
    <t>VALORES DE REFERÊNCIA</t>
  </si>
  <si>
    <t>DATA</t>
  </si>
  <si>
    <t xml:space="preserve">Hemácias </t>
  </si>
  <si>
    <t xml:space="preserve">VCM </t>
  </si>
  <si>
    <t xml:space="preserve">HCM </t>
  </si>
  <si>
    <t>CHCM</t>
  </si>
  <si>
    <t>RDW</t>
  </si>
  <si>
    <t>Leucócitos</t>
  </si>
  <si>
    <t xml:space="preserve">Neutrófilo </t>
  </si>
  <si>
    <t xml:space="preserve">Linfócitos </t>
  </si>
  <si>
    <t>Eosinófilos</t>
  </si>
  <si>
    <t xml:space="preserve">Monócitos </t>
  </si>
  <si>
    <t>Abaixo de 8%</t>
  </si>
  <si>
    <t>Basófilos</t>
  </si>
  <si>
    <t xml:space="preserve">VPM </t>
  </si>
  <si>
    <t xml:space="preserve">Próximo de 7fl </t>
  </si>
  <si>
    <t xml:space="preserve">Glicemia jejum </t>
  </si>
  <si>
    <t>Hb1Ac</t>
  </si>
  <si>
    <t xml:space="preserve">Insulina </t>
  </si>
  <si>
    <t xml:space="preserve">Menor que 10 </t>
  </si>
  <si>
    <t xml:space="preserve">Colesterol Total </t>
  </si>
  <si>
    <t xml:space="preserve">HDL colesterol </t>
  </si>
  <si>
    <t>Maior que 60 mg/dL</t>
  </si>
  <si>
    <t xml:space="preserve">Triglicérides </t>
  </si>
  <si>
    <t>Inferior a 150 mg/dL</t>
  </si>
  <si>
    <t xml:space="preserve">LDL colesterol </t>
  </si>
  <si>
    <t>Inferior a 100 mg/dL</t>
  </si>
  <si>
    <t>CT/HDL</t>
  </si>
  <si>
    <t>Abaixo de 3,3</t>
  </si>
  <si>
    <t>LDL/HDL</t>
  </si>
  <si>
    <t>Abaixo de 2,3</t>
  </si>
  <si>
    <t>TAG/HDL melhor preditor de saúde CV</t>
  </si>
  <si>
    <t xml:space="preserve">TGO/AST </t>
  </si>
  <si>
    <t>Abaixo de 20 U/L</t>
  </si>
  <si>
    <t xml:space="preserve">TGP/ALT </t>
  </si>
  <si>
    <t>GGT (gama GT)</t>
  </si>
  <si>
    <t>Abaixo de 16 U/L</t>
  </si>
  <si>
    <t xml:space="preserve">Creatinina </t>
  </si>
  <si>
    <t>0,6 – 1,2mg/dL</t>
  </si>
  <si>
    <t xml:space="preserve">Ureia sérica </t>
  </si>
  <si>
    <t>10 – 45 mg/dL</t>
  </si>
  <si>
    <t xml:space="preserve">Microalbuminúria </t>
  </si>
  <si>
    <t xml:space="preserve">Até 30 </t>
  </si>
  <si>
    <t>PCR us</t>
  </si>
  <si>
    <t>Abaixo 0,6 mg/L para 
prevenção de DCV 
Abaixo de 0,4 para câncer</t>
  </si>
  <si>
    <t xml:space="preserve">Homocisteína </t>
  </si>
  <si>
    <t>Fibrinogênio</t>
  </si>
  <si>
    <t>Abaixo de 300 mg/dL</t>
  </si>
  <si>
    <t xml:space="preserve">T4 livre </t>
  </si>
  <si>
    <t>T 3 livre</t>
  </si>
  <si>
    <t>Anti-TPO</t>
  </si>
  <si>
    <t xml:space="preserve">Ferro sérico </t>
  </si>
  <si>
    <t xml:space="preserve">30 – 160 mcg/dL </t>
  </si>
  <si>
    <t xml:space="preserve">Ferritina </t>
  </si>
  <si>
    <t xml:space="preserve">Vitamina B12 </t>
  </si>
  <si>
    <t>Vitamina B9</t>
  </si>
  <si>
    <t>Acima de 10</t>
  </si>
  <si>
    <t xml:space="preserve">Zinco sérico </t>
  </si>
  <si>
    <t xml:space="preserve">25 (OH) D </t>
  </si>
  <si>
    <t xml:space="preserve">Pelo menos 40 - 100ng/ml </t>
  </si>
  <si>
    <t>Cobre plasmático</t>
  </si>
  <si>
    <t>Selênio</t>
  </si>
  <si>
    <t>FA (fosfatase alcalina)</t>
  </si>
  <si>
    <t>40 – 130 UI/L</t>
  </si>
  <si>
    <t>Urina pH</t>
  </si>
  <si>
    <t>Acima de 6,5</t>
  </si>
  <si>
    <t>Urina densidade</t>
  </si>
  <si>
    <t>Abaixo de 1.010</t>
  </si>
  <si>
    <t>PTH</t>
  </si>
  <si>
    <t>Menor que 40 pg/mL</t>
  </si>
  <si>
    <t>Superior a 20</t>
  </si>
  <si>
    <t>Anticorpos anti-endomisio IgA e IgG</t>
  </si>
  <si>
    <t>Anticorpos anti-transglutaminase IgA e IgG</t>
  </si>
  <si>
    <t xml:space="preserve">IgE total </t>
  </si>
  <si>
    <t>IgA total sérica</t>
  </si>
  <si>
    <t>SDHEA</t>
  </si>
  <si>
    <t>35 – 430</t>
  </si>
  <si>
    <t>Cortisol</t>
  </si>
  <si>
    <t xml:space="preserve">Estrona </t>
  </si>
  <si>
    <t>Estradiol</t>
  </si>
  <si>
    <t>Progesterona 17OH</t>
  </si>
  <si>
    <t>Testosterona livre</t>
  </si>
  <si>
    <t>Testosterona total</t>
  </si>
  <si>
    <t>SHBG</t>
  </si>
  <si>
    <t>FSH</t>
  </si>
  <si>
    <t>LH</t>
  </si>
  <si>
    <t>Prolactina</t>
  </si>
  <si>
    <t xml:space="preserve">DHT </t>
  </si>
  <si>
    <t xml:space="preserve">Até 368 
Se estiver mt alta tem relação
 com SOP, RI, oleosidade
 de pele, estresse e queda de 
cabelo.  </t>
  </si>
  <si>
    <t xml:space="preserve">Hormônio de crescimento HGH </t>
  </si>
  <si>
    <t>IGF1</t>
  </si>
  <si>
    <t>Lipoproteína A</t>
  </si>
  <si>
    <t xml:space="preserve">Inferior a 30 </t>
  </si>
  <si>
    <t>CEA</t>
  </si>
  <si>
    <t>CA 125</t>
  </si>
  <si>
    <t>CA 19,9</t>
  </si>
  <si>
    <t>Vitamina B6</t>
  </si>
  <si>
    <t xml:space="preserve">Cromo serico </t>
  </si>
  <si>
    <t xml:space="preserve">Vitamina B1 </t>
  </si>
  <si>
    <t xml:space="preserve">Vitamina A </t>
  </si>
  <si>
    <t xml:space="preserve">Sódio </t>
  </si>
  <si>
    <t xml:space="preserve">Potassio </t>
  </si>
  <si>
    <t>Calcio Iônico .</t>
  </si>
  <si>
    <t>Presença de HLA DQ2</t>
  </si>
  <si>
    <t>Fx1, fx2, fx5, fx3</t>
    <phoneticPr fontId="6" type="noConversion"/>
  </si>
  <si>
    <t xml:space="preserve">Aline Peres de Souza </t>
  </si>
  <si>
    <t>CRN - 10 5614</t>
  </si>
  <si>
    <t>Nutricionista Clínica Funcional</t>
  </si>
  <si>
    <t xml:space="preserve">Sexta refeição do dia: </t>
  </si>
  <si>
    <t>Nome:</t>
  </si>
  <si>
    <t>Idade:</t>
  </si>
  <si>
    <t xml:space="preserve">D. Tríceps </t>
  </si>
  <si>
    <t>Metabolismo basal</t>
  </si>
  <si>
    <t xml:space="preserve">% gordura corporal </t>
  </si>
  <si>
    <t xml:space="preserve">% músculo  esqueletico </t>
  </si>
  <si>
    <t xml:space="preserve">idade corporal </t>
  </si>
  <si>
    <t xml:space="preserve">Nível de gordura visceral </t>
  </si>
  <si>
    <t>ALT + ENTER PARA DESCER</t>
  </si>
  <si>
    <t xml:space="preserve">Observações: </t>
  </si>
  <si>
    <t>Unhas:</t>
  </si>
  <si>
    <t xml:space="preserve">Cor da urina: </t>
  </si>
  <si>
    <t xml:space="preserve">Consistência das fezes: </t>
  </si>
  <si>
    <t>Hábito intestinal:</t>
  </si>
  <si>
    <t xml:space="preserve">Atividade física: </t>
  </si>
  <si>
    <t xml:space="preserve">Horas de sono/dia: </t>
  </si>
  <si>
    <t>Bebidas alcoólicas:</t>
  </si>
  <si>
    <t xml:space="preserve">Alergia alimentar: </t>
  </si>
  <si>
    <t xml:space="preserve">Intolerâncias: </t>
  </si>
  <si>
    <t xml:space="preserve">Mulher anticoncepcional: </t>
  </si>
  <si>
    <t xml:space="preserve">Uso de suplementos: </t>
  </si>
  <si>
    <t xml:space="preserve">Uso de medicamentos: </t>
  </si>
  <si>
    <t xml:space="preserve">Cirurgias: </t>
  </si>
  <si>
    <t xml:space="preserve">Diagnóstico de alguma doença: </t>
  </si>
  <si>
    <t xml:space="preserve">Antecedentes familiares: </t>
  </si>
  <si>
    <t xml:space="preserve">HISTÓRIA CLÍNICA </t>
  </si>
  <si>
    <t xml:space="preserve">Alguem indicou: </t>
  </si>
  <si>
    <t>Já foi em algum nutricionista:</t>
  </si>
  <si>
    <t xml:space="preserve">Motivo principal da consulta: </t>
  </si>
  <si>
    <t xml:space="preserve">Profissão/estudo: </t>
  </si>
  <si>
    <t xml:space="preserve">Email: </t>
  </si>
  <si>
    <t xml:space="preserve">Telefone/whats: </t>
  </si>
  <si>
    <t xml:space="preserve">CADASTRO PACIENTE </t>
  </si>
  <si>
    <t xml:space="preserve">Idade </t>
  </si>
  <si>
    <t xml:space="preserve">Sinais e sintomas </t>
  </si>
  <si>
    <t xml:space="preserve">Já fez alguma cirurgia? </t>
  </si>
  <si>
    <t>Tem histórico na família de alguma doença?</t>
  </si>
  <si>
    <t>Utiliza algum suplemento/vitaminas? Qual?</t>
  </si>
  <si>
    <t>Utiliza algum medicamento? Qual?</t>
  </si>
  <si>
    <t>Qual a sua profissão/estudos/rotina?</t>
  </si>
  <si>
    <t>Qual o seu objetivo em relação a consulta?</t>
  </si>
  <si>
    <t>Qual o seu e-mail?</t>
  </si>
  <si>
    <t>Qual o numero do seu telefone (WhatsApp)?</t>
  </si>
  <si>
    <t>Qual o seu nome completo?</t>
  </si>
  <si>
    <t xml:space="preserve">TOTAL DE PONTOS </t>
  </si>
  <si>
    <t xml:space="preserve">Edema/ inchaço de pés, pernas, mãos </t>
  </si>
  <si>
    <t xml:space="preserve">Candidíase ou corrimento genital </t>
  </si>
  <si>
    <t xml:space="preserve">Frequente ou urgente vontade de urinar </t>
  </si>
  <si>
    <t xml:space="preserve">Frequentemente doente </t>
  </si>
  <si>
    <t xml:space="preserve">OUTROS </t>
  </si>
  <si>
    <t xml:space="preserve">Concentração ruim </t>
  </si>
  <si>
    <t xml:space="preserve">Memoria ruim </t>
  </si>
  <si>
    <t xml:space="preserve">MENTE </t>
  </si>
  <si>
    <t xml:space="preserve">Depressão </t>
  </si>
  <si>
    <t xml:space="preserve">Raiva, irritabilidade, agressividade  </t>
  </si>
  <si>
    <t xml:space="preserve">Ansiedade </t>
  </si>
  <si>
    <t xml:space="preserve">Stress  </t>
  </si>
  <si>
    <t xml:space="preserve">EMOÇÕES </t>
  </si>
  <si>
    <t xml:space="preserve">Dificuldade em descansar/ relaxar </t>
  </si>
  <si>
    <t xml:space="preserve">Hiperatividade </t>
  </si>
  <si>
    <t xml:space="preserve">Fadiga/ moleza </t>
  </si>
  <si>
    <t>ENERGIA E ATIVIDADE</t>
  </si>
  <si>
    <t xml:space="preserve">Dores musculares/ câimbras </t>
  </si>
  <si>
    <t xml:space="preserve">Artrite/artrose </t>
  </si>
  <si>
    <t xml:space="preserve">Dores articulares </t>
  </si>
  <si>
    <t xml:space="preserve">Dor estomacal/ intestinal </t>
  </si>
  <si>
    <t xml:space="preserve">Azia </t>
  </si>
  <si>
    <t xml:space="preserve">Gases intestinais </t>
  </si>
  <si>
    <t xml:space="preserve">Sente-se inchado/ abdômen distendido </t>
  </si>
  <si>
    <t xml:space="preserve">Constipação/ prisão de ventre </t>
  </si>
  <si>
    <t xml:space="preserve">Diarreia </t>
  </si>
  <si>
    <t xml:space="preserve">Náuseas, vômitos </t>
  </si>
  <si>
    <t xml:space="preserve">TRATO DIGESTIVO </t>
  </si>
  <si>
    <t xml:space="preserve">Dificuldade para respirar </t>
  </si>
  <si>
    <t xml:space="preserve">Asma, bronquite </t>
  </si>
  <si>
    <t xml:space="preserve">PULMÕES </t>
  </si>
  <si>
    <t xml:space="preserve">Dor no peito </t>
  </si>
  <si>
    <t xml:space="preserve">Batidas rápidas de mais </t>
  </si>
  <si>
    <t xml:space="preserve">Batidas irregulares ou falhando </t>
  </si>
  <si>
    <t xml:space="preserve">CORAÇÃO </t>
  </si>
  <si>
    <t xml:space="preserve">Suor excessivo </t>
  </si>
  <si>
    <t xml:space="preserve">Dermatite </t>
  </si>
  <si>
    <t xml:space="preserve">Perda de cabelo </t>
  </si>
  <si>
    <t xml:space="preserve">Feridas que coçam, erupções ou pele seca </t>
  </si>
  <si>
    <t>Acne (espinhas)</t>
  </si>
  <si>
    <t xml:space="preserve">PELE </t>
  </si>
  <si>
    <t xml:space="preserve">Aftas </t>
  </si>
  <si>
    <t xml:space="preserve">Língua, gengivas ou lábios inchados/ descoloridos </t>
  </si>
  <si>
    <t xml:space="preserve">Herpes labial   </t>
  </si>
  <si>
    <t>Dificuldade com mastigação ou deglutição</t>
  </si>
  <si>
    <t>BOCA E GARGANTA</t>
  </si>
  <si>
    <t xml:space="preserve">Excessiva formação de muco </t>
  </si>
  <si>
    <t xml:space="preserve">Rinite </t>
  </si>
  <si>
    <t xml:space="preserve">Sinusite </t>
  </si>
  <si>
    <t xml:space="preserve">Entupido </t>
  </si>
  <si>
    <t xml:space="preserve">NARIZ </t>
  </si>
  <si>
    <t xml:space="preserve">Dores de ouvido, infecções auditivas </t>
  </si>
  <si>
    <t xml:space="preserve">Coceira </t>
  </si>
  <si>
    <t>OUVIDOS</t>
  </si>
  <si>
    <t xml:space="preserve">Visão borrada ou em túnel </t>
  </si>
  <si>
    <t xml:space="preserve">Bolsas ou olheiras abaixo dos olhos </t>
  </si>
  <si>
    <t>Inchados, vermelhos ou com cílios colando</t>
  </si>
  <si>
    <t xml:space="preserve">Lacrimejantes ou coçando </t>
  </si>
  <si>
    <t xml:space="preserve">OLHOS </t>
  </si>
  <si>
    <t xml:space="preserve">Insônia </t>
  </si>
  <si>
    <t xml:space="preserve">Tonturas </t>
  </si>
  <si>
    <t xml:space="preserve">Sensação de desmaio </t>
  </si>
  <si>
    <t xml:space="preserve">Dor de cabeça </t>
  </si>
  <si>
    <t>CABEÇA</t>
  </si>
  <si>
    <t xml:space="preserve">SINAIS E SINTOMAS </t>
  </si>
  <si>
    <t xml:space="preserve">Sétima refeição do dia: </t>
  </si>
  <si>
    <t xml:space="preserve">INQUERITO ALIMENTAR - DIA USUAL  </t>
  </si>
  <si>
    <t xml:space="preserve">Necessidade de doce da hora que acorda até a hora de dormir 
Síndrome fungica e disbiose </t>
  </si>
  <si>
    <t xml:space="preserve">Necessidade de doce após as 17h da tarde
Queda de serotonina </t>
  </si>
  <si>
    <t xml:space="preserve">Necessidade de doce após almoço e jantar
Resistência a insulina </t>
  </si>
  <si>
    <t xml:space="preserve">Microondas ou geladeira no serviço </t>
  </si>
  <si>
    <t>Quem cozinha</t>
  </si>
  <si>
    <t>Onde costuma realizar suas refeições</t>
  </si>
  <si>
    <t>Mastigação</t>
  </si>
  <si>
    <t xml:space="preserve">Tapioca </t>
  </si>
  <si>
    <t xml:space="preserve">Sardinha/atum </t>
  </si>
  <si>
    <t xml:space="preserve">Ovos </t>
  </si>
  <si>
    <t xml:space="preserve">Frutas </t>
  </si>
  <si>
    <t>Verduras e legumes</t>
  </si>
  <si>
    <t>Pizza, hambúrguer, lasanha e cachorro quente</t>
  </si>
  <si>
    <t xml:space="preserve">Salgados fritos ou empanados </t>
  </si>
  <si>
    <t>Biscoitos salgados</t>
  </si>
  <si>
    <t>Biscoitos recheados</t>
  </si>
  <si>
    <t>Doces/padarias</t>
  </si>
  <si>
    <t xml:space="preserve">Pães </t>
  </si>
  <si>
    <t xml:space="preserve">Chocolates </t>
  </si>
  <si>
    <t xml:space="preserve">Balas e chicletes </t>
  </si>
  <si>
    <t>Temperos industrializados</t>
  </si>
  <si>
    <t>Temperos naturais</t>
  </si>
  <si>
    <t xml:space="preserve">Sal </t>
  </si>
  <si>
    <t xml:space="preserve">Adoçante </t>
  </si>
  <si>
    <t xml:space="preserve">Açúcar </t>
  </si>
  <si>
    <t>Consumo de líquidos no almoço ou janta</t>
  </si>
  <si>
    <t>Manteiga/margarina/requeijão</t>
  </si>
  <si>
    <t xml:space="preserve">Iogurte </t>
  </si>
  <si>
    <t xml:space="preserve">Queijo </t>
  </si>
  <si>
    <t>Consumo de leite</t>
  </si>
  <si>
    <t>Consumo de café</t>
  </si>
  <si>
    <t>Consumo de chás</t>
  </si>
  <si>
    <t>Consumo de água de coco</t>
  </si>
  <si>
    <t>Consumo refrigerantes</t>
  </si>
  <si>
    <t>Consumo de suco</t>
  </si>
  <si>
    <t xml:space="preserve">Consumo de água </t>
  </si>
  <si>
    <t xml:space="preserve">HÁBITOS ALIMENTARES </t>
  </si>
  <si>
    <t>peso esperado</t>
  </si>
  <si>
    <t xml:space="preserve">peso atual </t>
  </si>
  <si>
    <t>3º trimestre</t>
  </si>
  <si>
    <t>2º trimestre</t>
  </si>
  <si>
    <t>1º trimestre</t>
  </si>
  <si>
    <t>400g/sem.(4000kg)</t>
  </si>
  <si>
    <t>30ª sem. em diante</t>
  </si>
  <si>
    <t>450g/sem.(4500kg)</t>
  </si>
  <si>
    <t>20ª - 30ª</t>
  </si>
  <si>
    <t>335g/sem.(3500kg)</t>
  </si>
  <si>
    <t>10ª - 20ª</t>
  </si>
  <si>
    <t>GRAMAS POR SEMANA</t>
  </si>
  <si>
    <t xml:space="preserve">SEMANAS </t>
  </si>
  <si>
    <t xml:space="preserve">MODELO </t>
  </si>
  <si>
    <t>GANHO TOTAL DE PESO</t>
  </si>
  <si>
    <t>PESO ATUAL TEÓRICO</t>
  </si>
  <si>
    <t>GANHO DE PESO TEÓRICO</t>
  </si>
  <si>
    <t>TEMPO DE GESTAÇÃO (&gt;30)</t>
  </si>
  <si>
    <t>GANHO DE PESO (GP2)</t>
  </si>
  <si>
    <t>PESO ATUAL (PA2)</t>
  </si>
  <si>
    <t>TEMPO DE GESTAÇÃO (20-30)</t>
  </si>
  <si>
    <t>TEMPO DE GESTAÇÃO (10-20)</t>
  </si>
  <si>
    <t>GANHO DE PESO (GP1)</t>
  </si>
  <si>
    <t>PESO ATUAL (PA1)</t>
  </si>
  <si>
    <t>PESO TEÓRICO PRÉ-GESTACIONAL</t>
  </si>
  <si>
    <t>ALTURA</t>
  </si>
  <si>
    <t>PESO   PRÉ-GESTACIONAL</t>
  </si>
  <si>
    <t>GESTANTE</t>
  </si>
  <si>
    <t xml:space="preserve">Altura cm: </t>
  </si>
  <si>
    <t xml:space="preserve">Fim de semana: </t>
  </si>
  <si>
    <t>EVOLUÇÃO</t>
  </si>
  <si>
    <t xml:space="preserve">ARTICULAÇÕES MÚSCULOS </t>
  </si>
  <si>
    <t>Inferior a 200 mg/dL
Se tiver mt baixo pd ter prejuiso de sintese de vit. D</t>
  </si>
  <si>
    <t>Saturação de transferrina  sérica  (jejum)</t>
  </si>
  <si>
    <t>Normal = sem excesso de ferro. 
Maior que 45% e ferritina  alta = hemocromatose hereditária</t>
  </si>
  <si>
    <t>Abaixo de 10 µmol/L
Se estiver alta pode ser excesso de consumo de carnes ou deficiência de complexo B ou polimorfismo MTHFR</t>
  </si>
  <si>
    <t>Curva de tolerância à lactose</t>
  </si>
  <si>
    <t xml:space="preserve">Magnésio sérico </t>
  </si>
  <si>
    <t xml:space="preserve">Acima de 2 – 2,4 mg/dL
1,95 mg/dL deficiente </t>
  </si>
  <si>
    <t>Abaixo de 2,5
Acima de 2,5 indica RI e DCV</t>
  </si>
  <si>
    <t>Possui marca-passo ou outro dispositivo médico implantado?</t>
  </si>
  <si>
    <t>Dispositivo médico/marca-passo</t>
  </si>
  <si>
    <t>Como você avaliaria sua qualidade de vida? 
Dê uma nota de 1 a 5.</t>
  </si>
  <si>
    <t xml:space="preserve">O quanto você está satisfeito(a) com a sua aparência física? Dê uma nota de 1 a 5. </t>
  </si>
  <si>
    <t>Em sua opinião, quais os principais limitadores (que dificultam ou impedem) o seu Emagrecimento ou Mudança de Hábito Alimentar?</t>
  </si>
  <si>
    <t>Como você acha que eu posso ajudá-la (o)
 a atingir seus objetivos? </t>
  </si>
  <si>
    <t>De 0 a 10 quanto você está comprometido
(a) a iniciar o tratamento para atingir os seus objetivos?</t>
  </si>
  <si>
    <t>Como você avaliaria sua qualidade de vida? Dê uma nota de 1 a 5.</t>
  </si>
  <si>
    <t>O quanto você está satisfeito(a) com a sua aparência física? Dê uma nota de 1 a 5.</t>
  </si>
  <si>
    <t>Como você acha que eu posso ajudá-la (o) a atingir seus objetivos?</t>
  </si>
  <si>
    <t xml:space="preserve"> De 0 a 10 quanto você está comprometido(a) a iniciar o tratamento para atingir os seus objetivos?</t>
  </si>
  <si>
    <t>Possui diagnóstico de alguma doença?</t>
  </si>
  <si>
    <t xml:space="preserve">Entre 35 e 45 é boa 
A partir de 50 risco de acne. 
Para homens testo baixa  é menor que 300
</t>
  </si>
  <si>
    <t>N é bom parâmetro
Melhor testo total e SHBG 
para homens abaixo de 5,5 é indicativo de pouca produção</t>
  </si>
  <si>
    <t>curva glicêmica com dosagem de insulina
 0’30’60’90’e120’</t>
  </si>
  <si>
    <t xml:space="preserve">Se os dois últimos tempos 
(90 +120) der superior q 50 é ruim, tem q dar menos.  Ai fecha o diagnostico de RI. </t>
  </si>
  <si>
    <t xml:space="preserve">prolactina alta de mais pode ser cancer. 
O que altera prolactina no exame: hipotireoidismo, cirrose, estresse físico ou psicológico, idiopática, doença renal, sexo na véspera de exame ou masturbação, não descansar antes de exame. 
Não pode fazer o exame de prolactina no dia q fez exercícios, pois vai dar alterado. 
</t>
  </si>
  <si>
    <t>potassio alta altera batimento cardiaco.</t>
  </si>
  <si>
    <t xml:space="preserve">Quinta refeição do dia:  </t>
  </si>
  <si>
    <t xml:space="preserve">Aversões alimentares: </t>
  </si>
  <si>
    <t xml:space="preserve">Acorda ás:  </t>
  </si>
  <si>
    <t xml:space="preserve">Primeira refeição do dia:  </t>
  </si>
  <si>
    <t xml:space="preserve">Segunda refeição do dia: </t>
  </si>
  <si>
    <t xml:space="preserve">Terceira refeição do dia: </t>
  </si>
  <si>
    <t xml:space="preserve">Quarta refeição do dia:  </t>
  </si>
  <si>
    <t xml:space="preserve">Dorme ás:  </t>
  </si>
  <si>
    <t xml:space="preserve">Meta: </t>
  </si>
  <si>
    <t xml:space="preserve">exame de saliva: a saliva mostra o hormonio livre,  e isso q ta ligado aos sinais e sintomas q o paciente tem. </t>
  </si>
  <si>
    <t>cortisol salivar coletar 30 a 60min após acordar</t>
  </si>
  <si>
    <t xml:space="preserve">Cortisol salivar ou sanguineo menor que 6 pode ser sindrome de addison.
Maior que 35 em jejum ja se trona um problema (privação sono, estresse, baixo carbo).  Anticoncepcional o cortisol vai estar sempre acima de 19, mais alto.
Cortisol urinario maior q 100 sindrome de cushing. 
cortisol normal pela manhã:  15 a 20. 
Após comer o cortisol aumenta. </t>
  </si>
  <si>
    <t xml:space="preserve">T3L/T4L </t>
  </si>
  <si>
    <t xml:space="preserve">glicemia ideal em jejum: menor que 95mg/dL
pós prandial de 1 hora: menor que 140mg/dL
pós prandial de 2 horas: menor que 120mg/dL
</t>
  </si>
  <si>
    <t xml:space="preserve">Glicemia na gestação </t>
  </si>
  <si>
    <t>HOMA BETA</t>
  </si>
  <si>
    <t xml:space="preserve">70 – 99 mg/Dl
Após comer entre 140 -200 pré diabetes </t>
  </si>
  <si>
    <t>2 já é um alerta
acima de 2,7 resistência a insulina</t>
  </si>
  <si>
    <t>AST/ALT divisão das enzimas</t>
  </si>
  <si>
    <t xml:space="preserve">Mulher: 2,6 – 6,5 mg/dL
Homem: 3,5 – 7,2 mg/dL
acido urico alta relação com RI.
em homens maior q 5,5 está relacionado a disfunção erétil, pq diminui oxido nitrico. 
Mas o acido urico tbm sobe com o exrcicio fisico. 
Para atleta normal até 7,7. 
para pacientes c DCV tem que estar abaixo de 5,2.
para modulaçao intestinal abaixo de 6.
</t>
  </si>
  <si>
    <t>HOMA IR (RESISTÊNCIA A INSULINA)</t>
  </si>
  <si>
    <t>70 - 130 
avalia função da celula beta, acima de 130 é hiperfuncionante  e vai estimular de mais as celulas beta.
Abaixo de 70 é bem sensivel a insulina (precisa de pouco para já ter ação) é bom. 
Para melhorar HOMA BETA suplementar vit D.</t>
  </si>
  <si>
    <t xml:space="preserve">TSH ULTRA SENSÍVEL </t>
  </si>
  <si>
    <t xml:space="preserve">Carnes </t>
  </si>
  <si>
    <t>ideal proximo a 1
se tiver mt alterada tem relação com esteatose hepatica e risco DCV e SIBO</t>
  </si>
  <si>
    <t>Lingua: se branca (disbiose,  má digestão)
se seborreica amarelada (disturbios hepaticos, ver as enzimas hepaticas, ver sindrome metabolica)
lingua com rachaduras</t>
  </si>
  <si>
    <t>15 a 80 aproximadamente. 
Acima de 80 já é alto.
Mulher que não usa anticoncepcional tem um SHBG de 60 (normal). Se usar anticoncepcional vai para 300 ou mais. Se tomar anabolizante vai para menos que 10.</t>
  </si>
  <si>
    <t>Superior a 400 (pg/ml) 
B12 baixa é = a B9 baixa tbm, pq uma depende da outra 
B12 alta acima de 1000 é risco de câncer</t>
  </si>
  <si>
    <t>CPF</t>
  </si>
  <si>
    <t xml:space="preserve">CPF: </t>
  </si>
  <si>
    <t>4,5 – 5,5 mil/mm3
se estiver baixa pode ser anemia,  se estiver alta pode ser hipoxia por tabagismo, apneia do sono, pessoas q moram em lugar alto
Hipoxia é qd o corpo passa dificulade de levar o oxigenio para as celulas, ai o corpo aumenta mais hemacias para dar conta. 
Excesso de testo tbm aumenta hemacias</t>
  </si>
  <si>
    <t xml:space="preserve">12,0 – 16,5 g/dL
menor que 12 é anemia  agora tem que ver o VCM e ver do que é essa anemia.
Inflamação tbm diminui hemoglobina. 
</t>
  </si>
  <si>
    <t>40,0 – 50,0 %
se abaixo de 33 para mulheres e abaixo de 36 para homens é conversão de T4 para T3 reverso, o que é ruim, nesse caso o organismo está poupando energia. 
Hematocrito mt mt alto pode ser desidratação</t>
  </si>
  <si>
    <t xml:space="preserve">88 – 92 fL
menor de 80 microcitica , relação com talassemia falta de ferro , falta de cobre e quando ta alto é macrocitica falta de B9 e B12 ou até hepatopatia
hemoglobina baixa c VCM normal pode ser inicio de uma anemia,  doença renal, hipotireoidismo subclinico
</t>
  </si>
  <si>
    <t>26 – 32 pg
se baixo hipocromica: anemia por deficiencia ferro, talassemia
hipercromica falta de B12 e  B9</t>
  </si>
  <si>
    <t>31,5 – 36,5 g/dL
alto pode ser uma doença histerocitose, falciforme.
Se der baixa pode ser anemia por falta de ferro, talassemia</t>
  </si>
  <si>
    <t>11% qd alto é por falta de hemacias, pode ser pq doou sangue
se ta alto o corpo ta perdendo hemacias ou tem alguma doença roubando e se tiver baixo o corpo n ta produzindo a quantidade q deveria como anemia aplastica</t>
  </si>
  <si>
    <t>5.000 – 6.500 mm3 
acima de 6.500 já pensa em infecção cronica (viral ou bacteriana), disbiose
e quando baixo de 4.000 é imunidade baixa, quem usa imunosupressor para doenças autoimunes ou alimentaçao mt restritiva</t>
  </si>
  <si>
    <t xml:space="preserve">Menor 1% é ótimo 
Até 2% é bom                      2% - 4% disbiose ou reparo tecidual 
5% - 7% hipersensibilidade tardia 
Maior que 7% parasitose intestinal, alergias.
TH2 relacionado a alergias aumenta eosinofilo
quando está em 0 que n produz nada pode ser infacçao cronica porem n se tem mts estudos
</t>
  </si>
  <si>
    <t>Quanto menor melhor, 0%.</t>
  </si>
  <si>
    <t>25% - 35%
qd baixo linfopenia pode ser infecçao viral, HIV e qd alto linfocitose tbm pode ser infcçao alta, mononucleose, hipertireoidismo
imunidade adquirida (segunda linha de defesa)</t>
  </si>
  <si>
    <t>45% - 55%
qd baixo neutropenia pode ser por conta da quimioterapia ou  após covi ou infecçao viral 
estresse aumenta neutrofilo
imunidade inata (primeira linha de defesa)</t>
  </si>
  <si>
    <t>140.000 - 300.000 
qd alta risco DCV, sepse, disbiose intensa e qd baixa pode ser sepse, falta de b9 e b12, virus da dengue. Plaquta baixa pode ser purpura q é uma doença autoimnune</t>
  </si>
  <si>
    <t xml:space="preserve">Menor 5% 
Hemoglobina mt  aumentada quer dizer que o paciente está com as membranas  mais oxidadas. Mais inflamado.
</t>
  </si>
  <si>
    <t>Qual é o seu aliemento favorito?</t>
  </si>
  <si>
    <t xml:space="preserve">Preferências alimentares: </t>
  </si>
  <si>
    <t>Toma refrigerante?</t>
  </si>
  <si>
    <t>O que não gosta ?</t>
  </si>
  <si>
    <t>Consome bebida alcolica?</t>
  </si>
  <si>
    <t>Quantos litros de água?</t>
  </si>
  <si>
    <t>Cigarro ou outros?</t>
  </si>
  <si>
    <t>Consome sucos?</t>
  </si>
  <si>
    <t>Consome chás?</t>
  </si>
  <si>
    <t>Lanches, pizzas, cachorro quente?</t>
  </si>
  <si>
    <t>Água de coco?</t>
  </si>
  <si>
    <t xml:space="preserve">2,50 – 3,90 pg/mL
ideal é de 2,7 - 3,25
T3 é a forma ativa </t>
  </si>
  <si>
    <t>T3 dividido por T4
3 - 3,5
Se der abaixo o paciente pode sentir, frio, queda de cabelo, unhas fracas, dificuldade de perder peso, depressão, alergias...</t>
  </si>
  <si>
    <t>0,9 – 1,3 ng/dL</t>
  </si>
  <si>
    <t>Anti-TG</t>
  </si>
  <si>
    <t>Anticorpo TRAB</t>
  </si>
  <si>
    <t>Anticorpo TSI</t>
  </si>
  <si>
    <t>Negativo
se positivo doença autoimune de GRAVES 
doença autoimune (hipertireoidismo) perda de peso rapida, tremor, insonia</t>
  </si>
  <si>
    <t>Negativo
se positivo doença autoimune de GRAVES 
doença autoimune (hipertireoidismo) perda de peso rapida, tremorm insonia</t>
  </si>
  <si>
    <t xml:space="preserve">Negativo
Se positivo HASHIMOTO
Hipotireoidismo
Se o paciente tiver TPO alto e ainda defc. Ferro e hemoglobina baixa, tem q suplemnetar para amenizar o quadro de auto imunidade: ferro, magnésio, selenio, zinco e manganes. 
</t>
  </si>
  <si>
    <t>Negativo
Se positivo HASHIMOTO
Hipotireoidismo</t>
  </si>
  <si>
    <t xml:space="preserve">70 – 150
Ferritina mt  aumentada 
quer dizer que o paciente 
está com as membranas  
mais oxidadas, INFLAMAÇÃO
Ferritina baixa leva a queda de cabelo, cansaço, falta de ar, mal funcionamento de tireoide
</t>
  </si>
  <si>
    <t xml:space="preserve">Retinol Vit A </t>
  </si>
  <si>
    <t xml:space="preserve">Acima 90 até 150 mcg/dL
importante niveis adequados para um bom funcionamento da tireoide </t>
  </si>
  <si>
    <t xml:space="preserve">0,5 - 0,7 ng/ml
importante niveis adequados para um bom funcionamento da tireoide </t>
  </si>
  <si>
    <t>85 – 110 mcg/dL
cobre lto relação com doença de wilson e tbm aumento de fluxo menstrual</t>
  </si>
  <si>
    <t xml:space="preserve">Acima de 95 mcg/dL
importante para um bom funcionamento de tireoide </t>
  </si>
  <si>
    <t xml:space="preserve">Tireoglobulina </t>
  </si>
  <si>
    <t>10-15 mCg/L
marcador menos sensível de tireoide, pq pode estar alterada tbm em câncer</t>
  </si>
  <si>
    <r>
      <t xml:space="preserve">Acima de 0,5 mUI/ml
Abaixo de 2,5 mUI/ml
se abaixo de 0,5 risco de DCV, arritmia e infarto. 
4,5 a 10 hipo subclinico
TSH mt alto é hipo.
Baixas calorias e cortisol alto tem relação com  TSH alto. 
Suplementação de biotina, flavonoides e acido alfa lipoico alteram o examede TSH, tem q parar por dois dias para fazer o exame. 
Tem que parar de usar biotina por 72h antes do aexame, para n dar aletardo o TSH. 
PENSAR EM </t>
    </r>
    <r>
      <rPr>
        <sz val="14"/>
        <color rgb="FFFF0000"/>
        <rFont val="Gill Sans MT (Corpo)"/>
      </rPr>
      <t>ZN, FE, SE, VIT A</t>
    </r>
    <r>
      <rPr>
        <sz val="14"/>
        <rFont val="Gill Sans MT"/>
        <family val="2"/>
        <scheme val="minor"/>
      </rPr>
      <t xml:space="preserve"> QUE SÃO COFATORES (suplementar) gestante menor 2,5 para n ter anormalidade fetal
</t>
    </r>
  </si>
  <si>
    <t>data de nascimento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</si>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</sst>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#,##0.0"/>
    <numFmt numFmtId="166" formatCode="dd/mm/yy;@"/>
    <numFmt numFmtId="167" formatCode="_(&quot;R$ &quot;* #,##0.00_);_(&quot;R$ &quot;* \(#,##0.00\);_(&quot;R$ &quot;* &quot;-&quot;??_);_(@_)"/>
    <numFmt numFmtId="168" formatCode="0.000000"/>
  </numFmts>
  <fonts count="47" x14ac:knownFonts="1">
    <font>
      <sz val="11"/>
      <color theme="1"/>
      <name val="Gill Sans MT"/>
      <family val="2"/>
      <scheme val="minor"/>
    </font>
    <font>
      <sz val="12"/>
      <color theme="1"/>
      <name val="Gill Sans MT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Book Antiqua"/>
      <family val="1"/>
    </font>
    <font>
      <sz val="8"/>
      <color indexed="8"/>
      <name val="Verdana"/>
      <family val="2"/>
    </font>
    <font>
      <sz val="8"/>
      <color indexed="8"/>
      <name val="Arial"/>
      <family val="2"/>
    </font>
    <font>
      <sz val="11"/>
      <color theme="1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b/>
      <sz val="11"/>
      <color rgb="FF3F3F3F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26"/>
      <color theme="1"/>
      <name val="Arial Narrow"/>
      <family val="2"/>
    </font>
    <font>
      <sz val="28"/>
      <color theme="1"/>
      <name val="Arial Narrow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26"/>
      <color theme="1"/>
      <name val="Gill Sans MT"/>
      <family val="2"/>
      <scheme val="minor"/>
    </font>
    <font>
      <sz val="8"/>
      <color theme="1"/>
      <name val="Gill Sans MT"/>
      <family val="2"/>
      <scheme val="minor"/>
    </font>
    <font>
      <sz val="9"/>
      <color theme="1"/>
      <name val="Book Antiqua"/>
      <family val="1"/>
    </font>
    <font>
      <sz val="8"/>
      <name val="Gill Sans MT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7" tint="0.39997558519241921"/>
      <name val="Calibri"/>
      <family val="2"/>
    </font>
    <font>
      <sz val="11"/>
      <color rgb="FFB3DE54"/>
      <name val="Calibri"/>
      <family val="2"/>
    </font>
    <font>
      <b/>
      <sz val="11"/>
      <color rgb="FF3F3F3F"/>
      <name val="Calibri"/>
      <family val="2"/>
    </font>
    <font>
      <b/>
      <sz val="11"/>
      <color theme="7" tint="0.39997558519241921"/>
      <name val="Calibri"/>
      <family val="2"/>
    </font>
    <font>
      <sz val="20"/>
      <name val="Gill Sans MT"/>
      <family val="2"/>
      <scheme val="minor"/>
    </font>
    <font>
      <sz val="14"/>
      <name val="Gill Sans MT"/>
      <family val="2"/>
      <scheme val="minor"/>
    </font>
    <font>
      <u/>
      <sz val="11"/>
      <color theme="11"/>
      <name val="Gill Sans MT"/>
      <family val="2"/>
      <scheme val="minor"/>
    </font>
    <font>
      <u/>
      <sz val="10"/>
      <color theme="10"/>
      <name val="Arial"/>
      <family val="2"/>
    </font>
    <font>
      <b/>
      <sz val="15"/>
      <color indexed="56"/>
      <name val="Calibri"/>
      <family val="2"/>
    </font>
    <font>
      <sz val="9"/>
      <name val="Arial"/>
      <family val="2"/>
    </font>
    <font>
      <b/>
      <sz val="8"/>
      <color indexed="10"/>
      <name val="Arial"/>
      <family val="2"/>
      <charset val="204"/>
    </font>
    <font>
      <b/>
      <sz val="8"/>
      <color indexed="14"/>
      <name val="Arial"/>
      <family val="2"/>
      <charset val="204"/>
    </font>
    <font>
      <b/>
      <sz val="8"/>
      <color indexed="12"/>
      <name val="Arial"/>
      <family val="2"/>
      <charset val="204"/>
    </font>
    <font>
      <sz val="14"/>
      <color indexed="8"/>
      <name val="Gill Sans MT"/>
      <family val="2"/>
      <scheme val="minor"/>
    </font>
    <font>
      <sz val="9"/>
      <name val="Gill Sans MT"/>
      <family val="2"/>
      <scheme val="minor"/>
    </font>
    <font>
      <sz val="20"/>
      <color theme="5" tint="-0.499984740745262"/>
      <name val="Trebuchet MS"/>
      <family val="2"/>
    </font>
    <font>
      <sz val="14"/>
      <color indexed="10"/>
      <name val="Gill Sans MT"/>
      <family val="2"/>
      <scheme val="minor"/>
    </font>
    <font>
      <b/>
      <sz val="14"/>
      <color indexed="10"/>
      <name val="Gill Sans MT"/>
      <family val="2"/>
      <scheme val="minor"/>
    </font>
    <font>
      <sz val="14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u/>
      <sz val="11"/>
      <color theme="10"/>
      <name val="Gill Sans MT"/>
      <family val="2"/>
      <scheme val="minor"/>
    </font>
    <font>
      <sz val="14"/>
      <color rgb="FF000000"/>
      <name val="Gill Sans MT"/>
      <family val="2"/>
      <scheme val="minor"/>
    </font>
    <font>
      <sz val="10"/>
      <color theme="1"/>
      <name val="Arial"/>
      <family val="2"/>
    </font>
    <font>
      <sz val="14"/>
      <color rgb="FFFF0000"/>
      <name val="Gill Sans MT (Corpo)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3DE5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A7C2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7CBDA"/>
        <bgColor rgb="FF000000"/>
      </patternFill>
    </fill>
    <fill>
      <patternFill patternType="solid">
        <fgColor theme="4" tint="0.39997558519241921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thin">
        <color rgb="FFFFFEFB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/>
      <top/>
      <bottom/>
      <diagonal/>
    </border>
    <border>
      <left style="medium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/>
      <diagonal/>
    </border>
    <border>
      <left/>
      <right style="medium">
        <color theme="5" tint="-0.499984740745262"/>
      </right>
      <top/>
      <bottom/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</borders>
  <cellStyleXfs count="18">
    <xf numFmtId="0" fontId="0" fillId="0" borderId="0"/>
    <xf numFmtId="0" fontId="9" fillId="3" borderId="24" applyNumberFormat="0" applyAlignment="0" applyProtection="0"/>
    <xf numFmtId="0" fontId="2" fillId="0" borderId="0"/>
    <xf numFmtId="9" fontId="8" fillId="0" borderId="0" applyFont="0" applyFill="0" applyBorder="0" applyAlignment="0" applyProtection="0"/>
    <xf numFmtId="0" fontId="10" fillId="2" borderId="25" applyNumberFormat="0" applyAlignment="0" applyProtection="0"/>
    <xf numFmtId="43" fontId="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167" fontId="2" fillId="0" borderId="0" applyFill="0" applyBorder="0" applyAlignment="0" applyProtection="0"/>
    <xf numFmtId="0" fontId="31" fillId="0" borderId="37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329">
    <xf numFmtId="0" fontId="0" fillId="0" borderId="0" xfId="0"/>
    <xf numFmtId="0" fontId="11" fillId="4" borderId="1" xfId="0" applyFont="1" applyFill="1" applyBorder="1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0" borderId="3" xfId="0" applyFont="1" applyBorder="1"/>
    <xf numFmtId="0" fontId="0" fillId="0" borderId="0" xfId="0" applyAlignment="1">
      <alignment horizontal="center"/>
    </xf>
    <xf numFmtId="0" fontId="0" fillId="0" borderId="2" xfId="0" applyBorder="1"/>
    <xf numFmtId="0" fontId="4" fillId="6" borderId="15" xfId="0" applyFont="1" applyFill="1" applyBorder="1" applyAlignment="1" applyProtection="1">
      <alignment horizontal="center"/>
      <protection locked="0"/>
    </xf>
    <xf numFmtId="0" fontId="3" fillId="6" borderId="0" xfId="0" applyFont="1" applyFill="1" applyAlignment="1" applyProtection="1">
      <alignment horizontal="center"/>
      <protection locked="0"/>
    </xf>
    <xf numFmtId="0" fontId="4" fillId="6" borderId="0" xfId="0" applyFont="1" applyFill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hidden="1"/>
    </xf>
    <xf numFmtId="0" fontId="4" fillId="6" borderId="16" xfId="0" applyFont="1" applyFill="1" applyBorder="1" applyAlignment="1" applyProtection="1">
      <alignment horizontal="center"/>
      <protection locked="0"/>
    </xf>
    <xf numFmtId="0" fontId="3" fillId="6" borderId="16" xfId="0" applyFont="1" applyFill="1" applyBorder="1" applyAlignment="1" applyProtection="1">
      <alignment horizontal="center"/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0" fillId="0" borderId="16" xfId="0" applyBorder="1"/>
    <xf numFmtId="0" fontId="0" fillId="0" borderId="16" xfId="0" applyBorder="1" applyAlignment="1">
      <alignment horizontal="right"/>
    </xf>
    <xf numFmtId="0" fontId="14" fillId="9" borderId="0" xfId="0" applyFont="1" applyFill="1"/>
    <xf numFmtId="0" fontId="14" fillId="10" borderId="17" xfId="0" applyFont="1" applyFill="1" applyBorder="1"/>
    <xf numFmtId="0" fontId="14" fillId="11" borderId="17" xfId="0" applyFont="1" applyFill="1" applyBorder="1"/>
    <xf numFmtId="0" fontId="14" fillId="12" borderId="17" xfId="0" applyFont="1" applyFill="1" applyBorder="1"/>
    <xf numFmtId="0" fontId="14" fillId="13" borderId="17" xfId="0" applyFont="1" applyFill="1" applyBorder="1"/>
    <xf numFmtId="0" fontId="14" fillId="14" borderId="17" xfId="0" applyFont="1" applyFill="1" applyBorder="1"/>
    <xf numFmtId="0" fontId="14" fillId="15" borderId="17" xfId="0" applyFont="1" applyFill="1" applyBorder="1"/>
    <xf numFmtId="0" fontId="14" fillId="16" borderId="17" xfId="0" applyFont="1" applyFill="1" applyBorder="1"/>
    <xf numFmtId="0" fontId="14" fillId="17" borderId="17" xfId="0" applyFont="1" applyFill="1" applyBorder="1"/>
    <xf numFmtId="0" fontId="14" fillId="18" borderId="17" xfId="0" applyFont="1" applyFill="1" applyBorder="1"/>
    <xf numFmtId="0" fontId="14" fillId="19" borderId="17" xfId="0" applyFont="1" applyFill="1" applyBorder="1"/>
    <xf numFmtId="0" fontId="14" fillId="20" borderId="17" xfId="0" applyFont="1" applyFill="1" applyBorder="1"/>
    <xf numFmtId="0" fontId="14" fillId="21" borderId="17" xfId="0" applyFont="1" applyFill="1" applyBorder="1"/>
    <xf numFmtId="0" fontId="14" fillId="22" borderId="17" xfId="0" applyFont="1" applyFill="1" applyBorder="1"/>
    <xf numFmtId="0" fontId="14" fillId="23" borderId="17" xfId="0" applyFont="1" applyFill="1" applyBorder="1"/>
    <xf numFmtId="0" fontId="14" fillId="24" borderId="17" xfId="0" applyFont="1" applyFill="1" applyBorder="1"/>
    <xf numFmtId="0" fontId="14" fillId="25" borderId="17" xfId="0" applyFont="1" applyFill="1" applyBorder="1"/>
    <xf numFmtId="0" fontId="14" fillId="26" borderId="17" xfId="0" applyFont="1" applyFill="1" applyBorder="1"/>
    <xf numFmtId="0" fontId="14" fillId="4" borderId="17" xfId="0" applyFont="1" applyFill="1" applyBorder="1"/>
    <xf numFmtId="0" fontId="14" fillId="9" borderId="0" xfId="0" applyFont="1" applyFill="1" applyAlignment="1">
      <alignment horizontal="center"/>
    </xf>
    <xf numFmtId="0" fontId="3" fillId="0" borderId="2" xfId="0" applyFont="1" applyBorder="1"/>
    <xf numFmtId="0" fontId="3" fillId="0" borderId="18" xfId="0" applyFont="1" applyBorder="1"/>
    <xf numFmtId="165" fontId="2" fillId="0" borderId="0" xfId="5" applyNumberFormat="1" applyFont="1" applyFill="1" applyBorder="1" applyAlignment="1">
      <alignment horizontal="center"/>
    </xf>
    <xf numFmtId="0" fontId="2" fillId="0" borderId="0" xfId="0" applyFont="1"/>
    <xf numFmtId="0" fontId="15" fillId="0" borderId="18" xfId="0" applyFont="1" applyBorder="1"/>
    <xf numFmtId="0" fontId="15" fillId="0" borderId="2" xfId="0" applyFont="1" applyBorder="1"/>
    <xf numFmtId="0" fontId="15" fillId="0" borderId="17" xfId="0" applyFont="1" applyBorder="1"/>
    <xf numFmtId="0" fontId="14" fillId="15" borderId="0" xfId="0" applyFont="1" applyFill="1" applyAlignment="1">
      <alignment horizontal="center"/>
    </xf>
    <xf numFmtId="0" fontId="14" fillId="15" borderId="0" xfId="0" applyFont="1" applyFill="1"/>
    <xf numFmtId="0" fontId="3" fillId="0" borderId="17" xfId="0" applyFont="1" applyBorder="1"/>
    <xf numFmtId="0" fontId="14" fillId="17" borderId="0" xfId="0" applyFont="1" applyFill="1" applyAlignment="1">
      <alignment horizontal="center"/>
    </xf>
    <xf numFmtId="0" fontId="14" fillId="17" borderId="0" xfId="0" applyFont="1" applyFill="1"/>
    <xf numFmtId="0" fontId="14" fillId="16" borderId="0" xfId="0" applyFont="1" applyFill="1" applyAlignment="1">
      <alignment horizontal="center"/>
    </xf>
    <xf numFmtId="0" fontId="14" fillId="16" borderId="0" xfId="0" applyFont="1" applyFill="1"/>
    <xf numFmtId="0" fontId="14" fillId="18" borderId="0" xfId="0" applyFont="1" applyFill="1" applyAlignment="1">
      <alignment horizontal="center"/>
    </xf>
    <xf numFmtId="0" fontId="14" fillId="18" borderId="0" xfId="0" applyFont="1" applyFill="1"/>
    <xf numFmtId="0" fontId="15" fillId="0" borderId="19" xfId="0" applyFont="1" applyBorder="1"/>
    <xf numFmtId="0" fontId="14" fillId="12" borderId="0" xfId="0" applyFont="1" applyFill="1" applyAlignment="1">
      <alignment horizontal="center"/>
    </xf>
    <xf numFmtId="0" fontId="14" fillId="12" borderId="0" xfId="0" applyFont="1" applyFill="1"/>
    <xf numFmtId="0" fontId="14" fillId="13" borderId="0" xfId="0" applyFont="1" applyFill="1" applyAlignment="1">
      <alignment horizontal="center"/>
    </xf>
    <xf numFmtId="0" fontId="14" fillId="13" borderId="0" xfId="0" applyFont="1" applyFill="1"/>
    <xf numFmtId="0" fontId="14" fillId="14" borderId="0" xfId="0" applyFont="1" applyFill="1" applyAlignment="1">
      <alignment horizontal="center"/>
    </xf>
    <xf numFmtId="0" fontId="14" fillId="14" borderId="0" xfId="0" applyFont="1" applyFill="1"/>
    <xf numFmtId="0" fontId="14" fillId="10" borderId="0" xfId="0" applyFont="1" applyFill="1" applyAlignment="1">
      <alignment horizontal="center"/>
    </xf>
    <xf numFmtId="0" fontId="14" fillId="10" borderId="0" xfId="0" applyFont="1" applyFill="1"/>
    <xf numFmtId="0" fontId="14" fillId="11" borderId="0" xfId="0" applyFont="1" applyFill="1" applyAlignment="1">
      <alignment horizontal="center"/>
    </xf>
    <xf numFmtId="0" fontId="14" fillId="11" borderId="0" xfId="0" applyFont="1" applyFill="1"/>
    <xf numFmtId="0" fontId="14" fillId="19" borderId="0" xfId="0" applyFont="1" applyFill="1" applyAlignment="1">
      <alignment horizontal="center"/>
    </xf>
    <xf numFmtId="0" fontId="14" fillId="19" borderId="0" xfId="0" applyFont="1" applyFill="1"/>
    <xf numFmtId="0" fontId="14" fillId="20" borderId="0" xfId="0" applyFont="1" applyFill="1" applyAlignment="1">
      <alignment horizontal="center"/>
    </xf>
    <xf numFmtId="0" fontId="14" fillId="20" borderId="0" xfId="0" applyFont="1" applyFill="1"/>
    <xf numFmtId="0" fontId="14" fillId="21" borderId="0" xfId="0" applyFont="1" applyFill="1" applyAlignment="1">
      <alignment horizontal="center"/>
    </xf>
    <xf numFmtId="0" fontId="14" fillId="21" borderId="0" xfId="0" applyFont="1" applyFill="1"/>
    <xf numFmtId="0" fontId="14" fillId="23" borderId="0" xfId="0" applyFont="1" applyFill="1" applyAlignment="1">
      <alignment horizontal="center"/>
    </xf>
    <xf numFmtId="0" fontId="14" fillId="23" borderId="0" xfId="0" applyFont="1" applyFill="1"/>
    <xf numFmtId="0" fontId="15" fillId="0" borderId="12" xfId="0" applyFont="1" applyBorder="1"/>
    <xf numFmtId="0" fontId="15" fillId="0" borderId="5" xfId="0" applyFont="1" applyBorder="1"/>
    <xf numFmtId="0" fontId="14" fillId="22" borderId="0" xfId="0" applyFont="1" applyFill="1" applyAlignment="1">
      <alignment horizontal="center"/>
    </xf>
    <xf numFmtId="0" fontId="14" fillId="22" borderId="0" xfId="0" applyFont="1" applyFill="1"/>
    <xf numFmtId="0" fontId="14" fillId="24" borderId="0" xfId="0" applyFont="1" applyFill="1" applyAlignment="1">
      <alignment horizontal="center"/>
    </xf>
    <xf numFmtId="0" fontId="14" fillId="24" borderId="0" xfId="0" applyFont="1" applyFill="1"/>
    <xf numFmtId="0" fontId="14" fillId="25" borderId="0" xfId="0" applyFont="1" applyFill="1" applyAlignment="1">
      <alignment horizontal="center"/>
    </xf>
    <xf numFmtId="0" fontId="14" fillId="25" borderId="0" xfId="0" applyFont="1" applyFill="1"/>
    <xf numFmtId="0" fontId="4" fillId="27" borderId="17" xfId="0" applyFont="1" applyFill="1" applyBorder="1"/>
    <xf numFmtId="0" fontId="4" fillId="27" borderId="0" xfId="0" applyFont="1" applyFill="1" applyAlignment="1">
      <alignment horizontal="center"/>
    </xf>
    <xf numFmtId="0" fontId="4" fillId="27" borderId="0" xfId="0" applyFont="1" applyFill="1"/>
    <xf numFmtId="164" fontId="3" fillId="0" borderId="16" xfId="0" applyNumberFormat="1" applyFont="1" applyBorder="1" applyAlignment="1" applyProtection="1">
      <alignment horizontal="center"/>
      <protection hidden="1"/>
    </xf>
    <xf numFmtId="0" fontId="4" fillId="5" borderId="16" xfId="0" applyFont="1" applyFill="1" applyBorder="1" applyAlignment="1" applyProtection="1">
      <alignment horizontal="center"/>
      <protection locked="0"/>
    </xf>
    <xf numFmtId="0" fontId="16" fillId="0" borderId="0" xfId="0" applyFont="1"/>
    <xf numFmtId="14" fontId="17" fillId="0" borderId="16" xfId="0" applyNumberFormat="1" applyFont="1" applyBorder="1" applyAlignment="1">
      <alignment horizontal="center" wrapText="1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0" fontId="3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20" fontId="3" fillId="0" borderId="0" xfId="0" applyNumberFormat="1" applyFont="1" applyAlignment="1" applyProtection="1">
      <alignment horizontal="center" vertical="center" wrapText="1"/>
      <protection locked="0"/>
    </xf>
    <xf numFmtId="0" fontId="3" fillId="6" borderId="15" xfId="0" applyFont="1" applyFill="1" applyBorder="1" applyAlignment="1" applyProtection="1">
      <alignment horizontal="center"/>
      <protection locked="0"/>
    </xf>
    <xf numFmtId="14" fontId="0" fillId="0" borderId="16" xfId="0" applyNumberForma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Protection="1">
      <protection locked="0"/>
    </xf>
    <xf numFmtId="0" fontId="20" fillId="7" borderId="0" xfId="0" applyFont="1" applyFill="1"/>
    <xf numFmtId="0" fontId="24" fillId="7" borderId="0" xfId="0" applyFont="1" applyFill="1"/>
    <xf numFmtId="0" fontId="26" fillId="7" borderId="0" xfId="1" applyFont="1" applyFill="1" applyBorder="1" applyAlignment="1">
      <alignment horizontal="left"/>
    </xf>
    <xf numFmtId="2" fontId="23" fillId="7" borderId="0" xfId="3" applyNumberFormat="1" applyFont="1" applyFill="1" applyBorder="1" applyAlignment="1">
      <alignment horizontal="center"/>
    </xf>
    <xf numFmtId="2" fontId="24" fillId="7" borderId="0" xfId="3" applyNumberFormat="1" applyFont="1" applyFill="1" applyBorder="1" applyAlignment="1">
      <alignment horizontal="center"/>
    </xf>
    <xf numFmtId="0" fontId="20" fillId="0" borderId="0" xfId="0" applyFont="1"/>
    <xf numFmtId="0" fontId="20" fillId="0" borderId="3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20" fillId="8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1" fontId="0" fillId="0" borderId="2" xfId="0" applyNumberFormat="1" applyBorder="1" applyAlignment="1">
      <alignment horizontal="center"/>
    </xf>
    <xf numFmtId="0" fontId="25" fillId="8" borderId="27" xfId="4" applyFont="1" applyFill="1" applyBorder="1" applyAlignment="1">
      <alignment horizontal="left" indent="1"/>
    </xf>
    <xf numFmtId="0" fontId="22" fillId="8" borderId="28" xfId="1" applyFont="1" applyFill="1" applyBorder="1" applyAlignment="1">
      <alignment horizontal="left" indent="1"/>
    </xf>
    <xf numFmtId="0" fontId="20" fillId="8" borderId="30" xfId="0" applyFont="1" applyFill="1" applyBorder="1"/>
    <xf numFmtId="0" fontId="25" fillId="8" borderId="30" xfId="4" applyFont="1" applyFill="1" applyBorder="1" applyAlignment="1">
      <alignment horizontal="center"/>
    </xf>
    <xf numFmtId="0" fontId="25" fillId="8" borderId="31" xfId="4" applyFont="1" applyFill="1" applyBorder="1" applyAlignment="1">
      <alignment horizontal="center"/>
    </xf>
    <xf numFmtId="0" fontId="20" fillId="0" borderId="32" xfId="0" applyFont="1" applyBorder="1"/>
    <xf numFmtId="0" fontId="22" fillId="8" borderId="29" xfId="1" applyFont="1" applyFill="1" applyBorder="1" applyAlignment="1">
      <alignment horizontal="left" indent="1"/>
    </xf>
    <xf numFmtId="0" fontId="20" fillId="0" borderId="34" xfId="0" applyFont="1" applyBorder="1"/>
    <xf numFmtId="0" fontId="20" fillId="0" borderId="32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0" borderId="13" xfId="0" applyFont="1" applyBorder="1" applyAlignment="1">
      <alignment vertical="center" wrapText="1"/>
    </xf>
    <xf numFmtId="0" fontId="20" fillId="7" borderId="36" xfId="0" applyFont="1" applyFill="1" applyBorder="1"/>
    <xf numFmtId="0" fontId="20" fillId="28" borderId="3" xfId="0" applyFont="1" applyFill="1" applyBorder="1" applyAlignment="1">
      <alignment horizontal="center"/>
    </xf>
    <xf numFmtId="1" fontId="20" fillId="28" borderId="3" xfId="0" applyNumberFormat="1" applyFont="1" applyFill="1" applyBorder="1" applyAlignment="1">
      <alignment horizontal="center"/>
    </xf>
    <xf numFmtId="9" fontId="20" fillId="28" borderId="3" xfId="3" applyFont="1" applyFill="1" applyBorder="1" applyAlignment="1">
      <alignment horizontal="center"/>
    </xf>
    <xf numFmtId="2" fontId="20" fillId="28" borderId="3" xfId="3" applyNumberFormat="1" applyFont="1" applyFill="1" applyBorder="1" applyAlignment="1">
      <alignment horizontal="center"/>
    </xf>
    <xf numFmtId="2" fontId="20" fillId="28" borderId="3" xfId="0" applyNumberFormat="1" applyFont="1" applyFill="1" applyBorder="1" applyAlignment="1">
      <alignment horizontal="center"/>
    </xf>
    <xf numFmtId="1" fontId="20" fillId="28" borderId="32" xfId="0" applyNumberFormat="1" applyFont="1" applyFill="1" applyBorder="1" applyAlignment="1">
      <alignment horizontal="center"/>
    </xf>
    <xf numFmtId="1" fontId="20" fillId="28" borderId="33" xfId="0" applyNumberFormat="1" applyFont="1" applyFill="1" applyBorder="1" applyAlignment="1">
      <alignment horizontal="center"/>
    </xf>
    <xf numFmtId="1" fontId="20" fillId="28" borderId="34" xfId="0" applyNumberFormat="1" applyFont="1" applyFill="1" applyBorder="1" applyAlignment="1">
      <alignment horizontal="center"/>
    </xf>
    <xf numFmtId="1" fontId="20" fillId="28" borderId="35" xfId="0" applyNumberFormat="1" applyFont="1" applyFill="1" applyBorder="1" applyAlignment="1">
      <alignment horizontal="center"/>
    </xf>
    <xf numFmtId="0" fontId="2" fillId="0" borderId="0" xfId="2"/>
    <xf numFmtId="0" fontId="2" fillId="0" borderId="2" xfId="2" applyBorder="1" applyAlignment="1">
      <alignment vertical="center"/>
    </xf>
    <xf numFmtId="0" fontId="28" fillId="0" borderId="2" xfId="2" applyFont="1" applyBorder="1"/>
    <xf numFmtId="3" fontId="28" fillId="0" borderId="2" xfId="2" applyNumberFormat="1" applyFont="1" applyBorder="1"/>
    <xf numFmtId="0" fontId="28" fillId="0" borderId="2" xfId="2" applyFont="1" applyBorder="1" applyAlignment="1">
      <alignment vertical="center"/>
    </xf>
    <xf numFmtId="0" fontId="28" fillId="0" borderId="2" xfId="2" applyFont="1" applyBorder="1" applyAlignment="1">
      <alignment vertical="top"/>
    </xf>
    <xf numFmtId="0" fontId="28" fillId="0" borderId="0" xfId="2" applyFont="1"/>
    <xf numFmtId="0" fontId="28" fillId="5" borderId="2" xfId="2" applyFont="1" applyFill="1" applyBorder="1"/>
    <xf numFmtId="3" fontId="28" fillId="5" borderId="2" xfId="2" applyNumberFormat="1" applyFont="1" applyFill="1" applyBorder="1"/>
    <xf numFmtId="0" fontId="28" fillId="5" borderId="2" xfId="2" applyFont="1" applyFill="1" applyBorder="1" applyAlignment="1">
      <alignment vertical="center"/>
    </xf>
    <xf numFmtId="0" fontId="2" fillId="0" borderId="0" xfId="2" applyAlignment="1">
      <alignment horizontal="left"/>
    </xf>
    <xf numFmtId="0" fontId="2" fillId="0" borderId="2" xfId="2" applyBorder="1"/>
    <xf numFmtId="0" fontId="2" fillId="20" borderId="2" xfId="2" applyFill="1" applyBorder="1"/>
    <xf numFmtId="0" fontId="32" fillId="0" borderId="0" xfId="2" applyFont="1"/>
    <xf numFmtId="0" fontId="32" fillId="32" borderId="0" xfId="2" applyFont="1" applyFill="1"/>
    <xf numFmtId="0" fontId="4" fillId="0" borderId="0" xfId="2" applyFont="1"/>
    <xf numFmtId="0" fontId="4" fillId="0" borderId="0" xfId="2" applyFont="1" applyAlignment="1">
      <alignment horizontal="justify"/>
    </xf>
    <xf numFmtId="2" fontId="4" fillId="0" borderId="0" xfId="2" applyNumberFormat="1" applyFont="1" applyAlignment="1">
      <alignment horizontal="justify"/>
    </xf>
    <xf numFmtId="2" fontId="4" fillId="0" borderId="0" xfId="2" applyNumberFormat="1" applyFont="1"/>
    <xf numFmtId="0" fontId="4" fillId="0" borderId="0" xfId="2" applyFont="1" applyAlignment="1">
      <alignment horizontal="center" vertical="top" wrapText="1"/>
    </xf>
    <xf numFmtId="0" fontId="4" fillId="29" borderId="2" xfId="2" applyFont="1" applyFill="1" applyBorder="1" applyAlignment="1">
      <alignment horizontal="center" vertical="top" wrapText="1"/>
    </xf>
    <xf numFmtId="2" fontId="33" fillId="0" borderId="0" xfId="2" applyNumberFormat="1" applyFont="1"/>
    <xf numFmtId="0" fontId="4" fillId="29" borderId="2" xfId="2" applyFont="1" applyFill="1" applyBorder="1" applyAlignment="1">
      <alignment horizontal="center"/>
    </xf>
    <xf numFmtId="2" fontId="4" fillId="29" borderId="2" xfId="2" applyNumberFormat="1" applyFont="1" applyFill="1" applyBorder="1" applyAlignment="1">
      <alignment horizontal="center" vertical="top" wrapText="1"/>
    </xf>
    <xf numFmtId="0" fontId="4" fillId="0" borderId="2" xfId="2" applyFont="1" applyBorder="1" applyAlignment="1">
      <alignment horizontal="justify"/>
    </xf>
    <xf numFmtId="0" fontId="4" fillId="0" borderId="2" xfId="2" applyFont="1" applyBorder="1" applyAlignment="1">
      <alignment horizontal="center"/>
    </xf>
    <xf numFmtId="0" fontId="4" fillId="0" borderId="2" xfId="2" applyFont="1" applyBorder="1" applyAlignment="1">
      <alignment horizontal="center" vertical="top" wrapText="1"/>
    </xf>
    <xf numFmtId="0" fontId="4" fillId="0" borderId="2" xfId="2" applyFont="1" applyBorder="1"/>
    <xf numFmtId="0" fontId="4" fillId="29" borderId="2" xfId="2" applyFont="1" applyFill="1" applyBorder="1"/>
    <xf numFmtId="0" fontId="34" fillId="29" borderId="2" xfId="2" applyFont="1" applyFill="1" applyBorder="1" applyAlignment="1">
      <alignment horizontal="center" vertical="top" wrapText="1"/>
    </xf>
    <xf numFmtId="0" fontId="34" fillId="0" borderId="2" xfId="2" applyFont="1" applyBorder="1" applyAlignment="1">
      <alignment horizontal="center" vertical="top" wrapText="1"/>
    </xf>
    <xf numFmtId="0" fontId="35" fillId="29" borderId="2" xfId="2" applyFont="1" applyFill="1" applyBorder="1" applyAlignment="1">
      <alignment horizontal="center" vertical="top" wrapText="1"/>
    </xf>
    <xf numFmtId="0" fontId="35" fillId="0" borderId="2" xfId="2" applyFont="1" applyBorder="1" applyAlignment="1">
      <alignment horizontal="center" vertical="top" wrapText="1"/>
    </xf>
    <xf numFmtId="0" fontId="33" fillId="29" borderId="2" xfId="2" applyFont="1" applyFill="1" applyBorder="1" applyAlignment="1">
      <alignment horizontal="center" vertical="top" wrapText="1"/>
    </xf>
    <xf numFmtId="0" fontId="33" fillId="0" borderId="2" xfId="2" applyFont="1" applyBorder="1" applyAlignment="1">
      <alignment horizontal="center" vertical="top" wrapText="1"/>
    </xf>
    <xf numFmtId="0" fontId="28" fillId="26" borderId="2" xfId="2" applyFont="1" applyFill="1" applyBorder="1" applyAlignment="1">
      <alignment horizontal="left"/>
    </xf>
    <xf numFmtId="0" fontId="28" fillId="30" borderId="2" xfId="2" applyFont="1" applyFill="1" applyBorder="1" applyAlignment="1">
      <alignment horizontal="left" vertical="top"/>
    </xf>
    <xf numFmtId="0" fontId="28" fillId="0" borderId="2" xfId="2" applyFont="1" applyBorder="1" applyAlignment="1">
      <alignment horizontal="left"/>
    </xf>
    <xf numFmtId="0" fontId="28" fillId="30" borderId="2" xfId="2" applyFont="1" applyFill="1" applyBorder="1"/>
    <xf numFmtId="14" fontId="28" fillId="0" borderId="2" xfId="2" applyNumberFormat="1" applyFont="1" applyBorder="1" applyAlignment="1">
      <alignment horizontal="left"/>
    </xf>
    <xf numFmtId="0" fontId="28" fillId="30" borderId="2" xfId="2" applyFont="1" applyFill="1" applyBorder="1" applyAlignment="1">
      <alignment vertical="center"/>
    </xf>
    <xf numFmtId="0" fontId="28" fillId="26" borderId="2" xfId="2" applyFont="1" applyFill="1" applyBorder="1" applyAlignment="1">
      <alignment vertical="center"/>
    </xf>
    <xf numFmtId="0" fontId="28" fillId="0" borderId="2" xfId="2" applyFont="1" applyBorder="1" applyAlignment="1">
      <alignment horizontal="left" vertical="top" wrapText="1"/>
    </xf>
    <xf numFmtId="0" fontId="28" fillId="30" borderId="0" xfId="2" applyFont="1" applyFill="1"/>
    <xf numFmtId="0" fontId="28" fillId="0" borderId="2" xfId="2" applyFont="1" applyBorder="1" applyAlignment="1">
      <alignment horizontal="left" vertical="top"/>
    </xf>
    <xf numFmtId="0" fontId="28" fillId="30" borderId="2" xfId="2" applyFont="1" applyFill="1" applyBorder="1" applyAlignment="1">
      <alignment vertical="top" wrapText="1"/>
    </xf>
    <xf numFmtId="0" fontId="36" fillId="26" borderId="2" xfId="2" applyFont="1" applyFill="1" applyBorder="1" applyAlignment="1">
      <alignment horizontal="left" vertical="center"/>
    </xf>
    <xf numFmtId="0" fontId="28" fillId="30" borderId="2" xfId="2" applyFont="1" applyFill="1" applyBorder="1" applyAlignment="1">
      <alignment wrapText="1"/>
    </xf>
    <xf numFmtId="0" fontId="28" fillId="30" borderId="18" xfId="2" applyFont="1" applyFill="1" applyBorder="1"/>
    <xf numFmtId="0" fontId="28" fillId="20" borderId="3" xfId="2" applyFont="1" applyFill="1" applyBorder="1"/>
    <xf numFmtId="0" fontId="2" fillId="20" borderId="2" xfId="2" applyFill="1" applyBorder="1" applyAlignment="1">
      <alignment vertical="top"/>
    </xf>
    <xf numFmtId="0" fontId="28" fillId="20" borderId="2" xfId="2" applyFont="1" applyFill="1" applyBorder="1" applyAlignment="1">
      <alignment vertical="center"/>
    </xf>
    <xf numFmtId="0" fontId="28" fillId="30" borderId="0" xfId="2" applyFont="1" applyFill="1" applyAlignment="1">
      <alignment vertical="top" wrapText="1"/>
    </xf>
    <xf numFmtId="14" fontId="28" fillId="20" borderId="2" xfId="2" applyNumberFormat="1" applyFont="1" applyFill="1" applyBorder="1" applyAlignment="1">
      <alignment vertical="center"/>
    </xf>
    <xf numFmtId="0" fontId="39" fillId="0" borderId="2" xfId="2" applyFont="1" applyBorder="1"/>
    <xf numFmtId="0" fontId="40" fillId="0" borderId="2" xfId="2" applyFont="1" applyBorder="1"/>
    <xf numFmtId="168" fontId="39" fillId="0" borderId="2" xfId="2" applyNumberFormat="1" applyFont="1" applyBorder="1"/>
    <xf numFmtId="0" fontId="28" fillId="32" borderId="2" xfId="2" applyFont="1" applyFill="1" applyBorder="1"/>
    <xf numFmtId="0" fontId="28" fillId="32" borderId="2" xfId="2" applyFont="1" applyFill="1" applyBorder="1" applyAlignment="1">
      <alignment horizontal="left"/>
    </xf>
    <xf numFmtId="0" fontId="28" fillId="32" borderId="0" xfId="2" applyFont="1" applyFill="1"/>
    <xf numFmtId="0" fontId="41" fillId="0" borderId="0" xfId="0" applyFont="1" applyProtection="1">
      <protection locked="0"/>
    </xf>
    <xf numFmtId="0" fontId="42" fillId="0" borderId="0" xfId="0" applyFont="1" applyProtection="1">
      <protection locked="0"/>
    </xf>
    <xf numFmtId="0" fontId="42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0" fontId="1" fillId="0" borderId="44" xfId="0" applyFont="1" applyBorder="1"/>
    <xf numFmtId="0" fontId="1" fillId="0" borderId="0" xfId="0" applyFont="1"/>
    <xf numFmtId="0" fontId="0" fillId="0" borderId="50" xfId="0" applyBorder="1"/>
    <xf numFmtId="0" fontId="41" fillId="0" borderId="44" xfId="0" applyFont="1" applyBorder="1"/>
    <xf numFmtId="0" fontId="41" fillId="0" borderId="42" xfId="0" applyFont="1" applyBorder="1" applyProtection="1">
      <protection locked="0"/>
    </xf>
    <xf numFmtId="0" fontId="42" fillId="20" borderId="41" xfId="0" applyFont="1" applyFill="1" applyBorder="1" applyProtection="1">
      <protection locked="0"/>
    </xf>
    <xf numFmtId="166" fontId="42" fillId="20" borderId="41" xfId="0" applyNumberFormat="1" applyFont="1" applyFill="1" applyBorder="1" applyProtection="1">
      <protection locked="0"/>
    </xf>
    <xf numFmtId="166" fontId="42" fillId="20" borderId="0" xfId="0" applyNumberFormat="1" applyFont="1" applyFill="1" applyProtection="1">
      <protection locked="0"/>
    </xf>
    <xf numFmtId="166" fontId="42" fillId="20" borderId="42" xfId="0" applyNumberFormat="1" applyFont="1" applyFill="1" applyBorder="1" applyProtection="1">
      <protection locked="0"/>
    </xf>
    <xf numFmtId="0" fontId="42" fillId="20" borderId="40" xfId="0" applyFont="1" applyFill="1" applyBorder="1" applyProtection="1">
      <protection locked="0"/>
    </xf>
    <xf numFmtId="0" fontId="41" fillId="20" borderId="44" xfId="0" applyFont="1" applyFill="1" applyBorder="1" applyAlignment="1" applyProtection="1">
      <alignment vertical="center" wrapText="1"/>
      <protection locked="0"/>
    </xf>
    <xf numFmtId="0" fontId="41" fillId="0" borderId="41" xfId="0" applyFont="1" applyBorder="1" applyProtection="1">
      <protection locked="0"/>
    </xf>
    <xf numFmtId="0" fontId="41" fillId="0" borderId="43" xfId="0" applyFont="1" applyBorder="1" applyProtection="1">
      <protection locked="0"/>
    </xf>
    <xf numFmtId="0" fontId="41" fillId="0" borderId="45" xfId="0" applyFont="1" applyBorder="1" applyProtection="1">
      <protection locked="0"/>
    </xf>
    <xf numFmtId="0" fontId="41" fillId="0" borderId="46" xfId="0" applyFont="1" applyBorder="1" applyProtection="1">
      <protection locked="0"/>
    </xf>
    <xf numFmtId="0" fontId="41" fillId="0" borderId="47" xfId="0" applyFont="1" applyBorder="1"/>
    <xf numFmtId="0" fontId="41" fillId="20" borderId="49" xfId="0" applyFont="1" applyFill="1" applyBorder="1" applyAlignment="1" applyProtection="1">
      <alignment vertical="center" wrapText="1"/>
      <protection locked="0"/>
    </xf>
    <xf numFmtId="2" fontId="41" fillId="0" borderId="41" xfId="0" applyNumberFormat="1" applyFont="1" applyBorder="1"/>
    <xf numFmtId="0" fontId="41" fillId="0" borderId="43" xfId="0" applyFont="1" applyBorder="1"/>
    <xf numFmtId="0" fontId="41" fillId="0" borderId="41" xfId="0" applyFont="1" applyBorder="1"/>
    <xf numFmtId="0" fontId="41" fillId="0" borderId="42" xfId="0" applyFont="1" applyBorder="1"/>
    <xf numFmtId="0" fontId="41" fillId="0" borderId="40" xfId="0" applyFont="1" applyBorder="1" applyProtection="1">
      <protection locked="0"/>
    </xf>
    <xf numFmtId="0" fontId="41" fillId="0" borderId="40" xfId="0" applyFont="1" applyBorder="1"/>
    <xf numFmtId="0" fontId="41" fillId="20" borderId="42" xfId="0" applyFont="1" applyFill="1" applyBorder="1" applyAlignment="1" applyProtection="1">
      <alignment vertical="center" wrapText="1"/>
      <protection locked="0"/>
    </xf>
    <xf numFmtId="0" fontId="41" fillId="0" borderId="39" xfId="0" applyFont="1" applyBorder="1" applyProtection="1">
      <protection locked="0"/>
    </xf>
    <xf numFmtId="0" fontId="41" fillId="0" borderId="48" xfId="0" applyFont="1" applyBorder="1"/>
    <xf numFmtId="0" fontId="2" fillId="31" borderId="2" xfId="2" applyFill="1" applyBorder="1"/>
    <xf numFmtId="0" fontId="2" fillId="33" borderId="12" xfId="0" applyFont="1" applyFill="1" applyBorder="1"/>
    <xf numFmtId="0" fontId="2" fillId="33" borderId="2" xfId="0" applyFont="1" applyFill="1" applyBorder="1"/>
    <xf numFmtId="0" fontId="28" fillId="30" borderId="2" xfId="2" applyFont="1" applyFill="1" applyBorder="1" applyAlignment="1">
      <alignment vertical="center" wrapText="1"/>
    </xf>
    <xf numFmtId="0" fontId="44" fillId="30" borderId="0" xfId="0" applyFont="1" applyFill="1" applyAlignment="1">
      <alignment vertical="top" wrapText="1"/>
    </xf>
    <xf numFmtId="0" fontId="45" fillId="0" borderId="0" xfId="0" applyFont="1"/>
    <xf numFmtId="0" fontId="44" fillId="30" borderId="2" xfId="0" applyFont="1" applyFill="1" applyBorder="1" applyAlignment="1">
      <alignment vertical="top" wrapText="1"/>
    </xf>
    <xf numFmtId="0" fontId="28" fillId="0" borderId="2" xfId="2" applyFont="1" applyBorder="1" applyAlignment="1">
      <alignment vertical="top" wrapText="1"/>
    </xf>
    <xf numFmtId="0" fontId="28" fillId="34" borderId="2" xfId="2" applyFont="1" applyFill="1" applyBorder="1" applyAlignment="1">
      <alignment vertical="center"/>
    </xf>
    <xf numFmtId="0" fontId="28" fillId="34" borderId="2" xfId="2" applyFont="1" applyFill="1" applyBorder="1" applyAlignment="1">
      <alignment vertical="top" wrapText="1"/>
    </xf>
    <xf numFmtId="0" fontId="28" fillId="30" borderId="2" xfId="2" applyFont="1" applyFill="1" applyBorder="1" applyAlignment="1">
      <alignment horizontal="left" vertical="center" wrapText="1"/>
    </xf>
    <xf numFmtId="0" fontId="28" fillId="30" borderId="2" xfId="2" applyFont="1" applyFill="1" applyBorder="1" applyAlignment="1">
      <alignment vertical="top"/>
    </xf>
    <xf numFmtId="9" fontId="28" fillId="30" borderId="2" xfId="2" applyNumberFormat="1" applyFont="1" applyFill="1" applyBorder="1" applyAlignment="1">
      <alignment horizontal="left" vertical="top" wrapText="1"/>
    </xf>
    <xf numFmtId="14" fontId="45" fillId="0" borderId="0" xfId="0" applyNumberFormat="1" applyFont="1"/>
    <xf numFmtId="0" fontId="2" fillId="31" borderId="0" xfId="2" applyFill="1"/>
    <xf numFmtId="0" fontId="28" fillId="30" borderId="2" xfId="2" applyFont="1" applyFill="1" applyBorder="1" applyAlignment="1">
      <alignment horizontal="left" vertical="center"/>
    </xf>
    <xf numFmtId="0" fontId="2" fillId="0" borderId="5" xfId="2" applyBorder="1" applyAlignment="1">
      <alignment horizontal="left" vertical="top" wrapText="1"/>
    </xf>
    <xf numFmtId="0" fontId="2" fillId="0" borderId="7" xfId="2" applyBorder="1" applyAlignment="1">
      <alignment horizontal="left" vertical="top" wrapText="1"/>
    </xf>
    <xf numFmtId="0" fontId="2" fillId="0" borderId="8" xfId="2" applyBorder="1" applyAlignment="1">
      <alignment horizontal="left" vertical="top" wrapText="1"/>
    </xf>
    <xf numFmtId="0" fontId="2" fillId="0" borderId="4" xfId="2" applyBorder="1" applyAlignment="1">
      <alignment horizontal="left" vertical="top" wrapText="1"/>
    </xf>
    <xf numFmtId="0" fontId="2" fillId="0" borderId="9" xfId="2" applyBorder="1" applyAlignment="1">
      <alignment horizontal="left" vertical="top" wrapText="1"/>
    </xf>
    <xf numFmtId="0" fontId="2" fillId="0" borderId="10" xfId="2" applyBorder="1" applyAlignment="1">
      <alignment horizontal="left" vertical="top" wrapText="1"/>
    </xf>
    <xf numFmtId="0" fontId="2" fillId="0" borderId="0" xfId="2" applyAlignment="1">
      <alignment horizontal="center"/>
    </xf>
    <xf numFmtId="0" fontId="28" fillId="20" borderId="12" xfId="2" applyFont="1" applyFill="1" applyBorder="1" applyAlignment="1">
      <alignment horizontal="center" vertical="center"/>
    </xf>
    <xf numFmtId="0" fontId="28" fillId="20" borderId="26" xfId="2" applyFont="1" applyFill="1" applyBorder="1" applyAlignment="1">
      <alignment horizontal="center" vertical="center"/>
    </xf>
    <xf numFmtId="0" fontId="2" fillId="0" borderId="3" xfId="2" applyBorder="1" applyAlignment="1">
      <alignment horizontal="center"/>
    </xf>
    <xf numFmtId="0" fontId="2" fillId="0" borderId="10" xfId="2" applyBorder="1" applyAlignment="1">
      <alignment horizontal="center"/>
    </xf>
    <xf numFmtId="0" fontId="28" fillId="0" borderId="12" xfId="2" applyFont="1" applyBorder="1" applyAlignment="1">
      <alignment horizontal="center" vertical="top" wrapText="1"/>
    </xf>
    <xf numFmtId="0" fontId="28" fillId="0" borderId="26" xfId="2" applyFont="1" applyBorder="1" applyAlignment="1">
      <alignment horizontal="center" vertical="top" wrapText="1"/>
    </xf>
    <xf numFmtId="0" fontId="28" fillId="0" borderId="17" xfId="2" applyFont="1" applyBorder="1" applyAlignment="1">
      <alignment horizontal="left" vertical="top" wrapText="1"/>
    </xf>
    <xf numFmtId="0" fontId="28" fillId="0" borderId="19" xfId="2" applyFont="1" applyBorder="1" applyAlignment="1">
      <alignment horizontal="left" vertical="top" wrapText="1"/>
    </xf>
    <xf numFmtId="0" fontId="28" fillId="0" borderId="18" xfId="2" applyFont="1" applyBorder="1" applyAlignment="1">
      <alignment horizontal="left" vertical="top" wrapText="1"/>
    </xf>
    <xf numFmtId="0" fontId="28" fillId="30" borderId="7" xfId="2" applyFont="1" applyFill="1" applyBorder="1" applyAlignment="1">
      <alignment horizontal="center" vertical="center" wrapText="1"/>
    </xf>
    <xf numFmtId="0" fontId="28" fillId="30" borderId="4" xfId="2" applyFont="1" applyFill="1" applyBorder="1" applyAlignment="1">
      <alignment horizontal="center" vertical="center" wrapText="1"/>
    </xf>
    <xf numFmtId="0" fontId="28" fillId="30" borderId="10" xfId="2" applyFont="1" applyFill="1" applyBorder="1" applyAlignment="1">
      <alignment horizontal="center" vertical="center" wrapText="1"/>
    </xf>
    <xf numFmtId="0" fontId="37" fillId="0" borderId="38" xfId="2" applyFont="1" applyBorder="1" applyAlignment="1">
      <alignment horizontal="center" vertical="top"/>
    </xf>
    <xf numFmtId="0" fontId="28" fillId="30" borderId="2" xfId="2" applyFont="1" applyFill="1" applyBorder="1" applyAlignment="1">
      <alignment horizontal="center" vertical="center"/>
    </xf>
    <xf numFmtId="0" fontId="28" fillId="20" borderId="0" xfId="2" applyFont="1" applyFill="1" applyAlignment="1">
      <alignment horizontal="center" vertical="center"/>
    </xf>
    <xf numFmtId="0" fontId="28" fillId="20" borderId="4" xfId="2" applyFont="1" applyFill="1" applyBorder="1" applyAlignment="1">
      <alignment horizontal="center" vertical="center"/>
    </xf>
    <xf numFmtId="0" fontId="28" fillId="0" borderId="2" xfId="2" applyFont="1" applyBorder="1" applyAlignment="1">
      <alignment horizontal="center" vertical="center"/>
    </xf>
    <xf numFmtId="0" fontId="28" fillId="5" borderId="2" xfId="2" applyFont="1" applyFill="1" applyBorder="1" applyAlignment="1">
      <alignment horizontal="center" vertical="center"/>
    </xf>
    <xf numFmtId="0" fontId="28" fillId="20" borderId="12" xfId="2" applyFont="1" applyFill="1" applyBorder="1" applyAlignment="1">
      <alignment horizontal="right"/>
    </xf>
    <xf numFmtId="0" fontId="28" fillId="20" borderId="26" xfId="2" applyFont="1" applyFill="1" applyBorder="1" applyAlignment="1">
      <alignment horizontal="right"/>
    </xf>
    <xf numFmtId="0" fontId="28" fillId="0" borderId="0" xfId="2" applyFont="1" applyAlignment="1">
      <alignment horizontal="center"/>
    </xf>
    <xf numFmtId="0" fontId="28" fillId="5" borderId="17" xfId="2" applyFont="1" applyFill="1" applyBorder="1" applyAlignment="1">
      <alignment horizontal="center" vertical="center" wrapText="1"/>
    </xf>
    <xf numFmtId="0" fontId="28" fillId="5" borderId="19" xfId="2" applyFont="1" applyFill="1" applyBorder="1" applyAlignment="1">
      <alignment horizontal="center" vertical="center" wrapText="1"/>
    </xf>
    <xf numFmtId="0" fontId="28" fillId="5" borderId="18" xfId="2" applyFont="1" applyFill="1" applyBorder="1" applyAlignment="1">
      <alignment horizontal="center" vertical="center" wrapText="1"/>
    </xf>
    <xf numFmtId="0" fontId="28" fillId="5" borderId="17" xfId="2" applyFont="1" applyFill="1" applyBorder="1" applyAlignment="1">
      <alignment horizontal="center" vertical="center"/>
    </xf>
    <xf numFmtId="0" fontId="28" fillId="5" borderId="18" xfId="2" applyFont="1" applyFill="1" applyBorder="1" applyAlignment="1">
      <alignment horizontal="center" vertical="center"/>
    </xf>
    <xf numFmtId="0" fontId="38" fillId="0" borderId="3" xfId="2" applyFont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0" fontId="28" fillId="0" borderId="12" xfId="2" applyFont="1" applyBorder="1" applyAlignment="1">
      <alignment horizontal="left" vertical="top"/>
    </xf>
    <xf numFmtId="0" fontId="28" fillId="0" borderId="38" xfId="2" applyFont="1" applyBorder="1" applyAlignment="1">
      <alignment horizontal="left" vertical="top"/>
    </xf>
    <xf numFmtId="0" fontId="28" fillId="0" borderId="26" xfId="2" applyFont="1" applyBorder="1" applyAlignment="1">
      <alignment horizontal="left" vertical="top"/>
    </xf>
    <xf numFmtId="0" fontId="28" fillId="0" borderId="12" xfId="2" applyFont="1" applyBorder="1" applyAlignment="1">
      <alignment horizontal="left"/>
    </xf>
    <xf numFmtId="0" fontId="28" fillId="0" borderId="38" xfId="2" applyFont="1" applyBorder="1" applyAlignment="1">
      <alignment horizontal="left"/>
    </xf>
    <xf numFmtId="0" fontId="28" fillId="0" borderId="26" xfId="2" applyFont="1" applyBorder="1" applyAlignment="1">
      <alignment horizontal="left"/>
    </xf>
    <xf numFmtId="0" fontId="28" fillId="0" borderId="2" xfId="2" applyFont="1" applyBorder="1" applyAlignment="1">
      <alignment horizontal="left" vertical="top" wrapText="1"/>
    </xf>
    <xf numFmtId="0" fontId="28" fillId="0" borderId="2" xfId="2" applyFont="1" applyBorder="1" applyAlignment="1">
      <alignment horizontal="left" vertical="top"/>
    </xf>
    <xf numFmtId="0" fontId="28" fillId="0" borderId="5" xfId="2" applyFont="1" applyBorder="1" applyAlignment="1">
      <alignment horizontal="left" vertical="top"/>
    </xf>
    <xf numFmtId="0" fontId="28" fillId="0" borderId="6" xfId="2" applyFont="1" applyBorder="1" applyAlignment="1">
      <alignment horizontal="left" vertical="top"/>
    </xf>
    <xf numFmtId="0" fontId="28" fillId="0" borderId="7" xfId="2" applyFont="1" applyBorder="1" applyAlignment="1">
      <alignment horizontal="left" vertical="top"/>
    </xf>
    <xf numFmtId="0" fontId="28" fillId="0" borderId="8" xfId="2" applyFont="1" applyBorder="1" applyAlignment="1">
      <alignment horizontal="left" vertical="top"/>
    </xf>
    <xf numFmtId="0" fontId="28" fillId="0" borderId="0" xfId="2" applyFont="1" applyAlignment="1">
      <alignment horizontal="left" vertical="top"/>
    </xf>
    <xf numFmtId="0" fontId="28" fillId="0" borderId="4" xfId="2" applyFont="1" applyBorder="1" applyAlignment="1">
      <alignment horizontal="left" vertical="top"/>
    </xf>
    <xf numFmtId="0" fontId="28" fillId="0" borderId="9" xfId="2" applyFont="1" applyBorder="1" applyAlignment="1">
      <alignment horizontal="left" vertical="top"/>
    </xf>
    <xf numFmtId="0" fontId="28" fillId="0" borderId="3" xfId="2" applyFont="1" applyBorder="1" applyAlignment="1">
      <alignment horizontal="left" vertical="top"/>
    </xf>
    <xf numFmtId="0" fontId="28" fillId="0" borderId="10" xfId="2" applyFont="1" applyBorder="1" applyAlignment="1">
      <alignment horizontal="left" vertical="top"/>
    </xf>
    <xf numFmtId="0" fontId="28" fillId="26" borderId="0" xfId="2" applyFont="1" applyFill="1" applyAlignment="1">
      <alignment horizontal="center" vertical="center"/>
    </xf>
    <xf numFmtId="0" fontId="28" fillId="30" borderId="12" xfId="2" applyFont="1" applyFill="1" applyBorder="1" applyAlignment="1">
      <alignment horizontal="center" vertical="center"/>
    </xf>
    <xf numFmtId="0" fontId="28" fillId="30" borderId="38" xfId="2" applyFont="1" applyFill="1" applyBorder="1" applyAlignment="1">
      <alignment horizontal="center" vertical="center"/>
    </xf>
    <xf numFmtId="0" fontId="28" fillId="30" borderId="26" xfId="2" applyFont="1" applyFill="1" applyBorder="1" applyAlignment="1">
      <alignment horizontal="center" vertical="center"/>
    </xf>
    <xf numFmtId="0" fontId="28" fillId="0" borderId="38" xfId="2" applyFont="1" applyBorder="1" applyAlignment="1">
      <alignment horizontal="left" vertical="top" wrapText="1"/>
    </xf>
    <xf numFmtId="0" fontId="28" fillId="0" borderId="26" xfId="2" applyFont="1" applyBorder="1" applyAlignment="1">
      <alignment horizontal="left" vertical="top" wrapText="1"/>
    </xf>
    <xf numFmtId="0" fontId="41" fillId="20" borderId="42" xfId="0" applyFont="1" applyFill="1" applyBorder="1" applyProtection="1">
      <protection locked="0"/>
    </xf>
    <xf numFmtId="0" fontId="41" fillId="20" borderId="40" xfId="0" applyFont="1" applyFill="1" applyBorder="1" applyProtection="1">
      <protection locked="0"/>
    </xf>
    <xf numFmtId="0" fontId="41" fillId="5" borderId="42" xfId="0" applyFont="1" applyFill="1" applyBorder="1" applyProtection="1">
      <protection locked="0"/>
    </xf>
    <xf numFmtId="0" fontId="41" fillId="5" borderId="43" xfId="0" applyFont="1" applyFill="1" applyBorder="1" applyProtection="1">
      <protection locked="0"/>
    </xf>
    <xf numFmtId="0" fontId="11" fillId="0" borderId="3" xfId="0" applyFont="1" applyBorder="1" applyAlignment="1">
      <alignment horizontal="center"/>
    </xf>
    <xf numFmtId="0" fontId="21" fillId="8" borderId="11" xfId="0" applyFont="1" applyFill="1" applyBorder="1" applyAlignment="1">
      <alignment horizontal="center"/>
    </xf>
    <xf numFmtId="0" fontId="21" fillId="8" borderId="20" xfId="0" applyFont="1" applyFill="1" applyBorder="1" applyAlignment="1">
      <alignment horizontal="center"/>
    </xf>
    <xf numFmtId="0" fontId="21" fillId="8" borderId="14" xfId="0" applyFont="1" applyFill="1" applyBorder="1" applyAlignment="1">
      <alignment horizontal="center"/>
    </xf>
    <xf numFmtId="0" fontId="20" fillId="0" borderId="11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 applyProtection="1">
      <alignment horizontal="right"/>
      <protection locked="0"/>
    </xf>
    <xf numFmtId="0" fontId="3" fillId="0" borderId="15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right" wrapText="1"/>
      <protection locked="0"/>
    </xf>
    <xf numFmtId="0" fontId="3" fillId="0" borderId="0" xfId="0" applyFont="1" applyAlignment="1" applyProtection="1">
      <alignment horizontal="center"/>
      <protection hidden="1"/>
    </xf>
    <xf numFmtId="20" fontId="5" fillId="7" borderId="0" xfId="0" applyNumberFormat="1" applyFont="1" applyFill="1" applyAlignment="1" applyProtection="1">
      <alignment horizontal="center" vertical="center" wrapText="1"/>
      <protection locked="0"/>
    </xf>
    <xf numFmtId="20" fontId="3" fillId="0" borderId="15" xfId="0" applyNumberFormat="1" applyFont="1" applyBorder="1" applyAlignment="1" applyProtection="1">
      <alignment horizontal="center" vertical="center" wrapText="1"/>
      <protection locked="0"/>
    </xf>
    <xf numFmtId="20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right"/>
      <protection locked="0"/>
    </xf>
    <xf numFmtId="0" fontId="3" fillId="0" borderId="16" xfId="0" applyFont="1" applyBorder="1" applyAlignment="1" applyProtection="1">
      <alignment horizontal="right"/>
      <protection locked="0"/>
    </xf>
    <xf numFmtId="0" fontId="3" fillId="0" borderId="16" xfId="0" applyFont="1" applyBorder="1" applyAlignment="1" applyProtection="1">
      <alignment horizontal="center"/>
      <protection hidden="1"/>
    </xf>
    <xf numFmtId="20" fontId="18" fillId="7" borderId="22" xfId="0" applyNumberFormat="1" applyFont="1" applyFill="1" applyBorder="1" applyAlignment="1" applyProtection="1">
      <alignment horizontal="center" vertical="center"/>
      <protection locked="0"/>
    </xf>
    <xf numFmtId="20" fontId="18" fillId="7" borderId="21" xfId="0" applyNumberFormat="1" applyFont="1" applyFill="1" applyBorder="1" applyAlignment="1" applyProtection="1">
      <alignment horizontal="center" vertical="center"/>
      <protection locked="0"/>
    </xf>
    <xf numFmtId="20" fontId="18" fillId="7" borderId="23" xfId="0" applyNumberFormat="1" applyFont="1" applyFill="1" applyBorder="1" applyAlignment="1" applyProtection="1">
      <alignment horizontal="center" vertical="center"/>
      <protection locked="0"/>
    </xf>
    <xf numFmtId="20" fontId="4" fillId="0" borderId="21" xfId="0" applyNumberFormat="1" applyFont="1" applyBorder="1" applyAlignment="1" applyProtection="1">
      <alignment horizontal="center" vertical="center"/>
      <protection locked="0"/>
    </xf>
    <xf numFmtId="14" fontId="0" fillId="0" borderId="6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4" fillId="0" borderId="16" xfId="0" applyFont="1" applyBorder="1" applyAlignment="1" applyProtection="1">
      <alignment horizontal="center"/>
      <protection locked="0"/>
    </xf>
    <xf numFmtId="0" fontId="0" fillId="0" borderId="6" xfId="0" applyBorder="1" applyAlignment="1">
      <alignment horizontal="left" wrapText="1"/>
    </xf>
  </cellXfs>
  <cellStyles count="18">
    <cellStyle name="Célula de Verificação" xfId="1" builtinId="23"/>
    <cellStyle name="Hiperlink" xfId="16" builtinId="8" hidden="1"/>
    <cellStyle name="Hiperlink 2" xfId="10" xr:uid="{00000000-0005-0000-0000-000001000000}"/>
    <cellStyle name="Hiperlink Visitado" xfId="6" builtinId="9" hidden="1"/>
    <cellStyle name="Hiperlink Visitado" xfId="7" builtinId="9" hidden="1"/>
    <cellStyle name="Hiperlink Visitado" xfId="8" builtinId="9" hidden="1"/>
    <cellStyle name="Hiperlink Visitado" xfId="9" builtinId="9" hidden="1"/>
    <cellStyle name="Hiperlink Visitado" xfId="13" builtinId="9" hidden="1"/>
    <cellStyle name="Hiperlink Visitado" xfId="14" builtinId="9" hidden="1"/>
    <cellStyle name="Hiperlink Visitado" xfId="15" builtinId="9" hidden="1"/>
    <cellStyle name="Hiperlink Visitado" xfId="17" builtinId="9" hidden="1"/>
    <cellStyle name="Moeda 2" xfId="11" xr:uid="{00000000-0005-0000-0000-00000A000000}"/>
    <cellStyle name="Normal" xfId="0" builtinId="0"/>
    <cellStyle name="Normal 2" xfId="2" xr:uid="{00000000-0005-0000-0000-00000C000000}"/>
    <cellStyle name="Porcentagem" xfId="3" builtinId="5"/>
    <cellStyle name="Saída" xfId="4" builtinId="21"/>
    <cellStyle name="Título 1 1" xfId="12" xr:uid="{00000000-0005-0000-0000-00000F000000}"/>
    <cellStyle name="Vírgula" xfId="5" builtinId="3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2F92"/>
      <color rgb="FFFF9966"/>
      <color rgb="FFFFF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Avaliação do ganho de peso gestante</a:t>
            </a:r>
          </a:p>
        </c:rich>
      </c:tx>
      <c:layout>
        <c:manualLayout>
          <c:xMode val="edge"/>
          <c:yMode val="edge"/>
          <c:x val="0.11960803416522101"/>
          <c:y val="3.71746178786475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419943702795"/>
          <c:y val="0.45070345045759103"/>
          <c:w val="0.73059279284300904"/>
          <c:h val="0.21126724240199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'Ganho peso gest'!$H$22</c:f>
              <c:strCache>
                <c:ptCount val="1"/>
                <c:pt idx="0">
                  <c:v>peso atual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'Ganho peso gest'!$I$21:$K$21</c:f>
              <c:strCache>
                <c:ptCount val="3"/>
                <c:pt idx="0">
                  <c:v>1º trimestre</c:v>
                </c:pt>
                <c:pt idx="1">
                  <c:v>2º trimestre</c:v>
                </c:pt>
                <c:pt idx="2">
                  <c:v>3º trimestre</c:v>
                </c:pt>
              </c:strCache>
            </c:strRef>
          </c:cat>
          <c:val>
            <c:numRef>
              <c:f>'Ganho peso gest'!$I$22:$K$22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0-4A4A-BA1A-C9C7B487523C}"/>
            </c:ext>
          </c:extLst>
        </c:ser>
        <c:ser>
          <c:idx val="1"/>
          <c:order val="1"/>
          <c:tx>
            <c:strRef>
              <c:f>'Ganho peso gest'!$H$23</c:f>
              <c:strCache>
                <c:ptCount val="1"/>
                <c:pt idx="0">
                  <c:v>peso esperado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0F0-4A4A-BA1A-C9C7B487523C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'Ganho peso gest'!$I$21:$K$21</c:f>
              <c:strCache>
                <c:ptCount val="3"/>
                <c:pt idx="0">
                  <c:v>1º trimestre</c:v>
                </c:pt>
                <c:pt idx="1">
                  <c:v>2º trimestre</c:v>
                </c:pt>
                <c:pt idx="2">
                  <c:v>3º trimestre</c:v>
                </c:pt>
              </c:strCache>
            </c:strRef>
          </c:cat>
          <c:val>
            <c:numRef>
              <c:f>'Ganho peso gest'!$I$23:$K$23</c:f>
              <c:numCache>
                <c:formatCode>0.00</c:formatCode>
                <c:ptCount val="3"/>
                <c:pt idx="0">
                  <c:v>50.65</c:v>
                </c:pt>
                <c:pt idx="1">
                  <c:v>41.65</c:v>
                </c:pt>
                <c:pt idx="2">
                  <c:v>33.65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0-4A4A-BA1A-C9C7B4875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04756832"/>
        <c:axId val="-2112458336"/>
      </c:barChart>
      <c:catAx>
        <c:axId val="-210475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2112458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2112458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Peso (Kg)</a:t>
                </a:r>
              </a:p>
            </c:rich>
          </c:tx>
          <c:layout>
            <c:manualLayout>
              <c:xMode val="edge"/>
              <c:yMode val="edge"/>
              <c:x val="3.1372614440144102E-2"/>
              <c:y val="0.349442292307043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21047568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3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</c:legendEntry>
      <c:legendEntry>
        <c:idx val="1"/>
        <c:txPr>
          <a:bodyPr/>
          <a:lstStyle/>
          <a:p>
            <a:pPr>
              <a:defRPr sz="73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</c:legendEntry>
      <c:layout>
        <c:manualLayout>
          <c:xMode val="edge"/>
          <c:yMode val="edge"/>
          <c:x val="0.36102802615774698"/>
          <c:y val="0.88505410754137004"/>
          <c:w val="0.27288976377952801"/>
          <c:h val="0.1069552402206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/>
    <c:pageMargins b="0.984251969" l="0.78740157499999996" r="0.78740157499999996" t="0.984251969" header="0.49212598499999999" footer="0.49212598499999999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560917</xdr:colOff>
      <xdr:row>0</xdr:row>
      <xdr:rowOff>158751</xdr:rowOff>
    </xdr:from>
    <xdr:to>
      <xdr:col>0</xdr:col>
      <xdr:colOff>2264833</xdr:colOff>
      <xdr:row>0</xdr:row>
      <xdr:rowOff>1186737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917" y="158751"/>
          <a:ext cx="1703916" cy="1027986"/>
        </a:xfrm>
        <a:prstGeom prst="rect">
          <a:avLst/>
        </a:prstGeom>
      </xdr:spPr>
    </xdr:pic>
    <xdr:clientData/>
  </xdr:twoCellAnchor>
  <xdr:oneCellAnchor>
    <xdr:from>
      <xdr:col>1</xdr:col>
      <xdr:colOff>1016001</xdr:colOff>
      <xdr:row>0</xdr:row>
      <xdr:rowOff>444500</xdr:rowOff>
    </xdr:from>
    <xdr:ext cx="4952999" cy="55832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296834" y="444500"/>
          <a:ext cx="4952999" cy="55832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3000" b="1" cap="none" spc="0">
              <a:ln w="1905"/>
              <a:solidFill>
                <a:schemeClr val="bg2">
                  <a:lumMod val="50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Trebuchet MS" charset="0"/>
              <a:ea typeface="Trebuchet MS" charset="0"/>
              <a:cs typeface="Trebuchet MS" charset="0"/>
            </a:rPr>
            <a:t>Anamnese</a:t>
          </a:r>
          <a:r>
            <a:rPr lang="pt-BR" sz="3000" b="1" cap="none" spc="0" baseline="0">
              <a:ln w="1905"/>
              <a:solidFill>
                <a:schemeClr val="bg2">
                  <a:lumMod val="50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Trebuchet MS" pitchFamily="34" charset="0"/>
            </a:rPr>
            <a:t> Nutricional</a:t>
          </a:r>
          <a:endParaRPr lang="pt-BR" sz="3000" b="1" cap="none" spc="0">
            <a:ln w="1905"/>
            <a:solidFill>
              <a:schemeClr val="bg2">
                <a:lumMod val="50000"/>
              </a:schemeClr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latin typeface="Trebuchet MS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914400</xdr:colOff>
      <xdr:row>1</xdr:row>
      <xdr:rowOff>101600</xdr:rowOff>
    </xdr:from>
    <xdr:to>
      <xdr:col>4</xdr:col>
      <xdr:colOff>182880</xdr:colOff>
      <xdr:row>7</xdr:row>
      <xdr:rowOff>117204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840" y="294640"/>
          <a:ext cx="2113280" cy="1295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16</xdr:row>
      <xdr:rowOff>266700</xdr:rowOff>
    </xdr:from>
    <xdr:to>
      <xdr:col>13</xdr:col>
      <xdr:colOff>419100</xdr:colOff>
      <xdr:row>48</xdr:row>
      <xdr:rowOff>127000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igem">
  <a:themeElements>
    <a:clrScheme name="Origem">
      <a:dk1>
        <a:sysClr val="windowText" lastClr="000000"/>
      </a:dk1>
      <a:lt1>
        <a:sysClr val="window" lastClr="FFFFFF"/>
      </a:lt1>
      <a:dk2>
        <a:srgbClr val="464653"/>
      </a:dk2>
      <a:lt2>
        <a:srgbClr val="DDE9EC"/>
      </a:lt2>
      <a:accent1>
        <a:srgbClr val="727CA3"/>
      </a:accent1>
      <a:accent2>
        <a:srgbClr val="9FB8CD"/>
      </a:accent2>
      <a:accent3>
        <a:srgbClr val="D2DA7A"/>
      </a:accent3>
      <a:accent4>
        <a:srgbClr val="FADA7A"/>
      </a:accent4>
      <a:accent5>
        <a:srgbClr val="B88472"/>
      </a:accent5>
      <a:accent6>
        <a:srgbClr val="8E736A"/>
      </a:accent6>
      <a:hlink>
        <a:srgbClr val="B292CA"/>
      </a:hlink>
      <a:folHlink>
        <a:srgbClr val="6B5680"/>
      </a:folHlink>
    </a:clrScheme>
    <a:fontScheme name="Origem">
      <a:majorFont>
        <a:latin typeface="Bookman Old Style"/>
        <a:ea typeface=""/>
        <a:cs typeface=""/>
        <a:font script="Grek" typeface="Cambria"/>
        <a:font script="Cyrl" typeface="Cambria"/>
        <a:font script="Jpan" typeface="HG明朝E"/>
        <a:font script="Hang" typeface="돋움"/>
        <a:font script="Hans" typeface="宋体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Gill Sans MT"/>
        <a:ea typeface=""/>
        <a:cs typeface=""/>
        <a:font script="Grek" typeface="Calibri"/>
        <a:font script="Cyrl" typeface="Calibri"/>
        <a:font script="Jpan" typeface="ＭＳ Ｐゴシック"/>
        <a:font script="Hang" typeface="맑은 고딕"/>
        <a:font script="Hans" typeface="华文新魏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rigem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60000"/>
                <a:satMod val="300000"/>
              </a:schemeClr>
            </a:gs>
            <a:gs pos="30000">
              <a:schemeClr val="phClr">
                <a:shade val="80000"/>
                <a:satMod val="230000"/>
              </a:schemeClr>
            </a:gs>
            <a:gs pos="100000">
              <a:schemeClr val="phClr">
                <a:tint val="97000"/>
                <a:satMod val="22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hade val="6000"/>
                <a:satMod val="120000"/>
              </a:schemeClr>
              <a:schemeClr val="phClr">
                <a:tint val="90000"/>
              </a:schemeClr>
            </a:duotone>
          </a:blip>
          <a:tile tx="0" ty="0" sx="35000" sy="40000" flip="x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G11"/>
  <sheetViews>
    <sheetView topLeftCell="AD1" zoomScale="170" zoomScaleNormal="170" zoomScalePageLayoutView="170" workbookViewId="0">
      <selection activeCell="C2" sqref="C2"/>
    </sheetView>
  </sheetViews>
  <sheetFormatPr baseColWidth="10" defaultRowHeight="15" x14ac:dyDescent="0.2"/>
  <cols>
    <col min="1" max="1" width="22.33203125" style="133" customWidth="1"/>
    <col min="2" max="2" width="14.1640625" style="133" customWidth="1"/>
    <col min="3" max="3" width="21.6640625" style="133" customWidth="1"/>
    <col min="4" max="4" width="34" style="133" customWidth="1"/>
    <col min="5" max="5" width="16.5" style="133" customWidth="1"/>
    <col min="6" max="6" width="33.6640625" style="133" customWidth="1"/>
    <col min="7" max="7" width="28.6640625" style="133" customWidth="1"/>
    <col min="8" max="8" width="27.33203125" style="133" customWidth="1"/>
    <col min="9" max="9" width="32.83203125" style="133" customWidth="1"/>
    <col min="10" max="10" width="34.83203125" style="133" customWidth="1"/>
    <col min="11" max="11" width="18.1640625" style="133" customWidth="1"/>
    <col min="12" max="12" width="14.5" style="133" customWidth="1"/>
    <col min="13" max="13" width="10.83203125" style="133"/>
    <col min="14" max="14" width="46.6640625" style="133" customWidth="1"/>
    <col min="15" max="15" width="50" style="133" customWidth="1"/>
    <col min="16" max="16" width="62.5" style="133" customWidth="1"/>
    <col min="17" max="17" width="100.33203125" style="133" customWidth="1"/>
    <col min="18" max="18" width="50.83203125" style="133" customWidth="1"/>
    <col min="19" max="19" width="74.1640625" style="133" customWidth="1"/>
    <col min="20" max="20" width="29.6640625" style="133" customWidth="1"/>
    <col min="22" max="22" width="27.6640625" style="133" customWidth="1"/>
    <col min="23" max="23" width="19" style="133" customWidth="1"/>
    <col min="24" max="24" width="16" style="133" customWidth="1"/>
    <col min="25" max="25" width="20.33203125" style="133" customWidth="1"/>
    <col min="26" max="26" width="18.6640625" style="133" customWidth="1"/>
    <col min="27" max="27" width="14.83203125" style="133" customWidth="1"/>
    <col min="28" max="28" width="16.33203125" style="133" customWidth="1"/>
    <col min="29" max="29" width="13.5" style="133" customWidth="1"/>
    <col min="30" max="30" width="26.83203125" style="133" customWidth="1"/>
    <col min="31" max="16384" width="10.83203125" style="133"/>
  </cols>
  <sheetData>
    <row r="1" spans="1:33" ht="13" x14ac:dyDescent="0.15">
      <c r="A1" s="224" t="s">
        <v>594</v>
      </c>
      <c r="B1" s="224" t="s">
        <v>786</v>
      </c>
      <c r="C1" s="224" t="s">
        <v>832</v>
      </c>
      <c r="D1" s="224" t="s">
        <v>593</v>
      </c>
      <c r="E1" s="224" t="s">
        <v>592</v>
      </c>
      <c r="F1" s="224" t="s">
        <v>591</v>
      </c>
      <c r="G1" s="224" t="s">
        <v>590</v>
      </c>
      <c r="H1" s="224" t="s">
        <v>589</v>
      </c>
      <c r="I1" s="224" t="s">
        <v>588</v>
      </c>
      <c r="J1" s="224" t="s">
        <v>587</v>
      </c>
      <c r="K1" s="224" t="s">
        <v>586</v>
      </c>
      <c r="L1" s="224" t="s">
        <v>585</v>
      </c>
      <c r="M1" s="224" t="s">
        <v>584</v>
      </c>
      <c r="N1" s="226" t="s">
        <v>740</v>
      </c>
      <c r="O1" s="225" t="s">
        <v>747</v>
      </c>
      <c r="P1" s="225" t="s">
        <v>748</v>
      </c>
      <c r="Q1" s="226" t="s">
        <v>744</v>
      </c>
      <c r="R1" s="226" t="s">
        <v>749</v>
      </c>
      <c r="S1" s="226" t="s">
        <v>750</v>
      </c>
      <c r="T1" s="238" t="s">
        <v>751</v>
      </c>
      <c r="U1" s="238" t="s">
        <v>802</v>
      </c>
      <c r="V1" s="238" t="s">
        <v>805</v>
      </c>
      <c r="W1" s="238" t="s">
        <v>804</v>
      </c>
      <c r="X1" s="238" t="s">
        <v>806</v>
      </c>
      <c r="Y1" s="238" t="s">
        <v>807</v>
      </c>
      <c r="Z1" s="238" t="s">
        <v>808</v>
      </c>
      <c r="AA1" s="238" t="s">
        <v>809</v>
      </c>
      <c r="AB1" s="238" t="s">
        <v>810</v>
      </c>
      <c r="AC1" s="238" t="s">
        <v>811</v>
      </c>
      <c r="AD1" s="238" t="s">
        <v>812</v>
      </c>
      <c r="AE1" s="238"/>
    </row>
    <row r="2" spans="1:33" ht="13" x14ac:dyDescent="0.15">
      <c r="A2" s="229"/>
      <c r="B2" s="229"/>
      <c r="C2" s="237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</row>
    <row r="11" spans="1:33" x14ac:dyDescent="0.2">
      <c r="O11" s="1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2F92"/>
  </sheetPr>
  <dimension ref="A1:AG243"/>
  <sheetViews>
    <sheetView topLeftCell="A65" zoomScale="120" zoomScaleNormal="120" zoomScalePageLayoutView="120" workbookViewId="0">
      <selection activeCell="B8" sqref="B8"/>
    </sheetView>
  </sheetViews>
  <sheetFormatPr baseColWidth="10" defaultColWidth="8.83203125" defaultRowHeight="13" x14ac:dyDescent="0.15"/>
  <cols>
    <col min="1" max="1" width="43" style="133" customWidth="1"/>
    <col min="2" max="2" width="162.5" style="143" customWidth="1"/>
    <col min="3" max="16384" width="8.83203125" style="133"/>
  </cols>
  <sheetData>
    <row r="1" spans="1:33" ht="106" customHeight="1" x14ac:dyDescent="0.15">
      <c r="A1" s="249"/>
      <c r="B1" s="250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</row>
    <row r="2" spans="1:33" ht="23" customHeight="1" x14ac:dyDescent="0.2">
      <c r="A2" s="179" t="s">
        <v>583</v>
      </c>
      <c r="B2" s="168" t="s">
        <v>833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</row>
    <row r="3" spans="1:33" ht="18" x14ac:dyDescent="0.2">
      <c r="A3" s="169" t="s">
        <v>551</v>
      </c>
      <c r="B3" s="170">
        <f>QPC!A2</f>
        <v>0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</row>
    <row r="4" spans="1:33" ht="18" x14ac:dyDescent="0.2">
      <c r="A4" s="171" t="s">
        <v>552</v>
      </c>
      <c r="B4" s="170">
        <f>QPC!M2</f>
        <v>0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</row>
    <row r="5" spans="1:33" ht="18" x14ac:dyDescent="0.2">
      <c r="A5" s="171" t="s">
        <v>24</v>
      </c>
      <c r="B5" s="172">
        <f>QPC!C2</f>
        <v>0</v>
      </c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  <c r="AG5" s="246"/>
    </row>
    <row r="6" spans="1:33" ht="18" x14ac:dyDescent="0.2">
      <c r="A6" s="171" t="s">
        <v>582</v>
      </c>
      <c r="B6" s="170">
        <f>QPC!D2</f>
        <v>0</v>
      </c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  <c r="AF6" s="246"/>
      <c r="AG6" s="246"/>
    </row>
    <row r="7" spans="1:33" ht="18" x14ac:dyDescent="0.2">
      <c r="A7" s="171" t="s">
        <v>581</v>
      </c>
      <c r="B7" s="170">
        <f>QPC!E2</f>
        <v>0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</row>
    <row r="8" spans="1:33" ht="56" customHeight="1" x14ac:dyDescent="0.2">
      <c r="A8" s="171" t="s">
        <v>580</v>
      </c>
      <c r="B8" s="175">
        <f>QPC!G2</f>
        <v>0</v>
      </c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</row>
    <row r="9" spans="1:33" ht="18" x14ac:dyDescent="0.2">
      <c r="A9" s="173" t="s">
        <v>579</v>
      </c>
      <c r="B9" s="170">
        <f>QPC!F2</f>
        <v>0</v>
      </c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  <c r="AG9" s="246"/>
    </row>
    <row r="10" spans="1:33" ht="28" customHeight="1" x14ac:dyDescent="0.15">
      <c r="A10" s="173" t="s">
        <v>787</v>
      </c>
      <c r="B10" s="175">
        <f>QPC!B2</f>
        <v>0</v>
      </c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</row>
    <row r="11" spans="1:33" ht="22" customHeight="1" x14ac:dyDescent="0.2">
      <c r="A11" s="173" t="s">
        <v>578</v>
      </c>
      <c r="B11" s="170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</row>
    <row r="12" spans="1:33" ht="21" customHeight="1" x14ac:dyDescent="0.2">
      <c r="A12" s="173" t="s">
        <v>577</v>
      </c>
      <c r="B12" s="170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  <c r="AD12" s="246"/>
      <c r="AE12" s="246"/>
      <c r="AF12" s="246"/>
      <c r="AG12" s="246"/>
    </row>
    <row r="13" spans="1:33" ht="36" customHeight="1" x14ac:dyDescent="0.2">
      <c r="A13" s="228" t="s">
        <v>742</v>
      </c>
      <c r="B13" s="170">
        <f>QPC!O2</f>
        <v>0</v>
      </c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</row>
    <row r="14" spans="1:33" ht="40" customHeight="1" x14ac:dyDescent="0.2">
      <c r="A14" s="230" t="s">
        <v>743</v>
      </c>
      <c r="B14" s="170">
        <f>QPC!P2</f>
        <v>0</v>
      </c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</row>
    <row r="15" spans="1:33" ht="39" customHeight="1" x14ac:dyDescent="0.2">
      <c r="A15" s="227" t="s">
        <v>745</v>
      </c>
      <c r="B15" s="170">
        <f>QPC!R2</f>
        <v>0</v>
      </c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  <c r="AF15" s="246"/>
      <c r="AG15" s="246"/>
    </row>
    <row r="16" spans="1:33" ht="56" customHeight="1" x14ac:dyDescent="0.2">
      <c r="A16" s="227" t="s">
        <v>746</v>
      </c>
      <c r="B16" s="170">
        <f>QPC!S2</f>
        <v>0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  <c r="AG16" s="246"/>
    </row>
    <row r="17" spans="1:33" ht="75" customHeight="1" x14ac:dyDescent="0.15">
      <c r="A17" s="178" t="s">
        <v>744</v>
      </c>
      <c r="B17" s="175">
        <f>QPC!Q2</f>
        <v>0</v>
      </c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</row>
    <row r="18" spans="1:33" ht="21" customHeight="1" x14ac:dyDescent="0.15">
      <c r="A18" s="251"/>
      <c r="B18" s="252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</row>
    <row r="19" spans="1:33" ht="26" customHeight="1" x14ac:dyDescent="0.2">
      <c r="A19" s="174" t="s">
        <v>576</v>
      </c>
      <c r="B19" s="168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</row>
    <row r="20" spans="1:33" ht="18" x14ac:dyDescent="0.2">
      <c r="A20" s="173" t="s">
        <v>575</v>
      </c>
      <c r="B20" s="170">
        <f>QPC!J2</f>
        <v>0</v>
      </c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</row>
    <row r="21" spans="1:33" ht="33" customHeight="1" x14ac:dyDescent="0.15">
      <c r="A21" s="173" t="s">
        <v>574</v>
      </c>
      <c r="B21" s="175">
        <f>QPC!T2</f>
        <v>0</v>
      </c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</row>
    <row r="22" spans="1:33" ht="18" x14ac:dyDescent="0.2">
      <c r="A22" s="173" t="s">
        <v>573</v>
      </c>
      <c r="B22" s="170">
        <f>QPC!K2</f>
        <v>0</v>
      </c>
      <c r="C22" s="246"/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</row>
    <row r="23" spans="1:33" ht="18" x14ac:dyDescent="0.2">
      <c r="A23" s="173" t="s">
        <v>741</v>
      </c>
      <c r="B23" s="170">
        <f>QPC!N2</f>
        <v>0</v>
      </c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</row>
    <row r="24" spans="1:33" ht="32.25" customHeight="1" x14ac:dyDescent="0.15">
      <c r="A24" s="173" t="s">
        <v>572</v>
      </c>
      <c r="B24" s="175">
        <f>QPC!H2</f>
        <v>0</v>
      </c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</row>
    <row r="25" spans="1:33" ht="18" x14ac:dyDescent="0.2">
      <c r="A25" s="173" t="s">
        <v>571</v>
      </c>
      <c r="B25" s="170">
        <f>QPC!I2</f>
        <v>0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</row>
    <row r="26" spans="1:33" ht="18" x14ac:dyDescent="0.2">
      <c r="A26" s="176" t="s">
        <v>570</v>
      </c>
      <c r="B26" s="170"/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</row>
    <row r="27" spans="1:33" ht="18" x14ac:dyDescent="0.2">
      <c r="A27" s="171" t="s">
        <v>569</v>
      </c>
      <c r="B27" s="170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</row>
    <row r="28" spans="1:33" ht="18" x14ac:dyDescent="0.2">
      <c r="A28" s="171" t="s">
        <v>568</v>
      </c>
      <c r="B28" s="170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</row>
    <row r="29" spans="1:33" ht="18" x14ac:dyDescent="0.2">
      <c r="A29" s="173" t="s">
        <v>567</v>
      </c>
      <c r="B29" s="170">
        <f>QPC!X2</f>
        <v>0</v>
      </c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</row>
    <row r="30" spans="1:33" ht="18" x14ac:dyDescent="0.2">
      <c r="A30" s="173" t="s">
        <v>25</v>
      </c>
      <c r="B30" s="170">
        <f>QPC!Z2</f>
        <v>0</v>
      </c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</row>
    <row r="31" spans="1:33" ht="18" x14ac:dyDescent="0.2">
      <c r="A31" s="173" t="s">
        <v>566</v>
      </c>
      <c r="B31" s="170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</row>
    <row r="32" spans="1:33" ht="30" customHeight="1" x14ac:dyDescent="0.15">
      <c r="A32" s="173" t="s">
        <v>565</v>
      </c>
      <c r="B32" s="177"/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</row>
    <row r="33" spans="1:33" ht="16.5" customHeight="1" x14ac:dyDescent="0.15">
      <c r="A33" s="173" t="s">
        <v>564</v>
      </c>
      <c r="B33" s="175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</row>
    <row r="34" spans="1:33" ht="16.5" customHeight="1" x14ac:dyDescent="0.15">
      <c r="A34" s="173" t="s">
        <v>563</v>
      </c>
      <c r="B34" s="175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</row>
    <row r="35" spans="1:33" ht="16.5" customHeight="1" x14ac:dyDescent="0.15">
      <c r="A35" s="173" t="s">
        <v>562</v>
      </c>
      <c r="B35" s="175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</row>
    <row r="36" spans="1:33" ht="16.5" customHeight="1" x14ac:dyDescent="0.15">
      <c r="A36" s="173" t="s">
        <v>561</v>
      </c>
      <c r="B36" s="175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</row>
    <row r="37" spans="1:33" ht="153" customHeight="1" x14ac:dyDescent="0.15">
      <c r="A37" s="178" t="s">
        <v>783</v>
      </c>
      <c r="B37" s="175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</row>
    <row r="38" spans="1:33" ht="16" customHeight="1" x14ac:dyDescent="0.15">
      <c r="A38" s="256" t="s">
        <v>560</v>
      </c>
      <c r="B38" s="253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</row>
    <row r="39" spans="1:33" ht="18" customHeight="1" x14ac:dyDescent="0.15">
      <c r="A39" s="257"/>
      <c r="B39" s="254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</row>
    <row r="40" spans="1:33" ht="18" customHeight="1" x14ac:dyDescent="0.15">
      <c r="A40" s="257"/>
      <c r="B40" s="254"/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  <c r="AF40" s="246"/>
      <c r="AG40" s="246"/>
    </row>
    <row r="41" spans="1:33" ht="18" customHeight="1" x14ac:dyDescent="0.15">
      <c r="A41" s="257"/>
      <c r="B41" s="254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</row>
    <row r="42" spans="1:33" ht="18" customHeight="1" x14ac:dyDescent="0.15">
      <c r="A42" s="257"/>
      <c r="B42" s="254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</row>
    <row r="43" spans="1:33" ht="18" customHeight="1" x14ac:dyDescent="0.15">
      <c r="A43" s="257"/>
      <c r="B43" s="254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</row>
    <row r="44" spans="1:33" ht="18" customHeight="1" x14ac:dyDescent="0.15">
      <c r="A44" s="257"/>
      <c r="B44" s="254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</row>
    <row r="45" spans="1:33" ht="18" customHeight="1" x14ac:dyDescent="0.15">
      <c r="A45" s="258"/>
      <c r="B45" s="255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  <c r="AF45" s="246"/>
      <c r="AG45" s="246"/>
    </row>
    <row r="46" spans="1:33" ht="18" customHeight="1" x14ac:dyDescent="0.15">
      <c r="A46" s="259" t="s">
        <v>559</v>
      </c>
      <c r="B46" s="259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  <c r="AF46" s="246"/>
      <c r="AG46" s="246"/>
    </row>
    <row r="47" spans="1:33" ht="24" customHeight="1" x14ac:dyDescent="0.15">
      <c r="A47" s="247" t="s">
        <v>730</v>
      </c>
      <c r="B47" s="248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</row>
    <row r="48" spans="1:33" x14ac:dyDescent="0.15">
      <c r="A48" s="240"/>
      <c r="B48" s="241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  <c r="AF48" s="246"/>
      <c r="AG48" s="246"/>
    </row>
    <row r="49" spans="1:33" x14ac:dyDescent="0.15">
      <c r="A49" s="242"/>
      <c r="B49" s="243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</row>
    <row r="50" spans="1:33" x14ac:dyDescent="0.15">
      <c r="A50" s="242"/>
      <c r="B50" s="243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  <c r="AF50" s="246"/>
      <c r="AG50" s="246"/>
    </row>
    <row r="51" spans="1:33" x14ac:dyDescent="0.15">
      <c r="A51" s="242"/>
      <c r="B51" s="243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</row>
    <row r="52" spans="1:33" x14ac:dyDescent="0.15">
      <c r="A52" s="242"/>
      <c r="B52" s="243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  <c r="AF52" s="246"/>
      <c r="AG52" s="246"/>
    </row>
    <row r="53" spans="1:33" x14ac:dyDescent="0.15">
      <c r="A53" s="242"/>
      <c r="B53" s="243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  <c r="AF53" s="246"/>
      <c r="AG53" s="246"/>
    </row>
    <row r="54" spans="1:33" x14ac:dyDescent="0.15">
      <c r="A54" s="242"/>
      <c r="B54" s="243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E54" s="246"/>
      <c r="AF54" s="246"/>
      <c r="AG54" s="246"/>
    </row>
    <row r="55" spans="1:33" x14ac:dyDescent="0.15">
      <c r="A55" s="242"/>
      <c r="B55" s="243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</row>
    <row r="56" spans="1:33" x14ac:dyDescent="0.15">
      <c r="A56" s="242"/>
      <c r="B56" s="243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E56" s="246"/>
      <c r="AF56" s="246"/>
      <c r="AG56" s="246"/>
    </row>
    <row r="57" spans="1:33" x14ac:dyDescent="0.15">
      <c r="A57" s="242"/>
      <c r="B57" s="243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  <c r="AF57" s="246"/>
      <c r="AG57" s="246"/>
    </row>
    <row r="58" spans="1:33" x14ac:dyDescent="0.15">
      <c r="A58" s="242"/>
      <c r="B58" s="243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E58" s="246"/>
      <c r="AF58" s="246"/>
      <c r="AG58" s="246"/>
    </row>
    <row r="59" spans="1:33" x14ac:dyDescent="0.15">
      <c r="A59" s="242"/>
      <c r="B59" s="243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  <c r="AF59" s="246"/>
      <c r="AG59" s="246"/>
    </row>
    <row r="60" spans="1:33" x14ac:dyDescent="0.15">
      <c r="A60" s="242"/>
      <c r="B60" s="243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  <c r="AF60" s="246"/>
      <c r="AG60" s="246"/>
    </row>
    <row r="61" spans="1:33" x14ac:dyDescent="0.15">
      <c r="A61" s="242"/>
      <c r="B61" s="243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  <c r="AF61" s="246"/>
      <c r="AG61" s="246"/>
    </row>
    <row r="62" spans="1:33" x14ac:dyDescent="0.15">
      <c r="A62" s="242"/>
      <c r="B62" s="243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  <c r="AF62" s="246"/>
      <c r="AG62" s="246"/>
    </row>
    <row r="63" spans="1:33" x14ac:dyDescent="0.15">
      <c r="A63" s="242"/>
      <c r="B63" s="243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  <c r="AF63" s="246"/>
      <c r="AG63" s="246"/>
    </row>
    <row r="64" spans="1:33" x14ac:dyDescent="0.15">
      <c r="A64" s="242"/>
      <c r="B64" s="243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</row>
    <row r="65" spans="1:33" x14ac:dyDescent="0.15">
      <c r="A65" s="242"/>
      <c r="B65" s="243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  <c r="AF65" s="246"/>
      <c r="AG65" s="246"/>
    </row>
    <row r="66" spans="1:33" x14ac:dyDescent="0.15">
      <c r="A66" s="242"/>
      <c r="B66" s="243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  <c r="AF66" s="246"/>
      <c r="AG66" s="246"/>
    </row>
    <row r="67" spans="1:33" x14ac:dyDescent="0.15">
      <c r="A67" s="242"/>
      <c r="B67" s="243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  <c r="AF67" s="246"/>
      <c r="AG67" s="246"/>
    </row>
    <row r="68" spans="1:33" x14ac:dyDescent="0.15">
      <c r="A68" s="242"/>
      <c r="B68" s="243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  <c r="AF68" s="246"/>
      <c r="AG68" s="246"/>
    </row>
    <row r="69" spans="1:33" x14ac:dyDescent="0.15">
      <c r="A69" s="242"/>
      <c r="B69" s="243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246"/>
    </row>
    <row r="70" spans="1:33" x14ac:dyDescent="0.15">
      <c r="A70" s="244"/>
      <c r="B70" s="245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  <c r="AF70" s="246"/>
      <c r="AG70" s="246"/>
    </row>
    <row r="71" spans="1:33" x14ac:dyDescent="0.15"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</row>
    <row r="72" spans="1:33" x14ac:dyDescent="0.15"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</row>
    <row r="73" spans="1:33" x14ac:dyDescent="0.15"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  <c r="AF73" s="246"/>
      <c r="AG73" s="246"/>
    </row>
    <row r="74" spans="1:33" x14ac:dyDescent="0.15"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  <c r="AF74" s="246"/>
      <c r="AG74" s="246"/>
    </row>
    <row r="75" spans="1:33" x14ac:dyDescent="0.15"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  <c r="AF75" s="246"/>
      <c r="AG75" s="246"/>
    </row>
    <row r="76" spans="1:33" x14ac:dyDescent="0.15"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  <c r="AF76" s="246"/>
      <c r="AG76" s="246"/>
    </row>
    <row r="77" spans="1:33" x14ac:dyDescent="0.15"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  <c r="AF77" s="246"/>
      <c r="AG77" s="246"/>
    </row>
    <row r="78" spans="1:33" x14ac:dyDescent="0.15"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  <c r="AF78" s="246"/>
      <c r="AG78" s="246"/>
    </row>
    <row r="79" spans="1:33" x14ac:dyDescent="0.15"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  <c r="AF79" s="246"/>
      <c r="AG79" s="246"/>
    </row>
    <row r="80" spans="1:33" x14ac:dyDescent="0.15"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  <c r="AD80" s="246"/>
      <c r="AE80" s="246"/>
      <c r="AF80" s="246"/>
      <c r="AG80" s="246"/>
    </row>
    <row r="81" spans="3:33" x14ac:dyDescent="0.15"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246"/>
    </row>
    <row r="82" spans="3:33" x14ac:dyDescent="0.15"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  <c r="AF82" s="246"/>
      <c r="AG82" s="246"/>
    </row>
    <row r="83" spans="3:33" x14ac:dyDescent="0.15"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  <c r="AF83" s="246"/>
      <c r="AG83" s="246"/>
    </row>
    <row r="84" spans="3:33" x14ac:dyDescent="0.15"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  <c r="AF84" s="246"/>
      <c r="AG84" s="246"/>
    </row>
    <row r="85" spans="3:33" x14ac:dyDescent="0.15"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  <c r="AB85" s="246"/>
      <c r="AC85" s="246"/>
      <c r="AD85" s="246"/>
      <c r="AE85" s="246"/>
      <c r="AF85" s="246"/>
      <c r="AG85" s="246"/>
    </row>
    <row r="86" spans="3:33" x14ac:dyDescent="0.15"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  <c r="AD86" s="246"/>
      <c r="AE86" s="246"/>
      <c r="AF86" s="246"/>
      <c r="AG86" s="246"/>
    </row>
    <row r="87" spans="3:33" x14ac:dyDescent="0.15"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  <c r="AD87" s="246"/>
      <c r="AE87" s="246"/>
      <c r="AF87" s="246"/>
      <c r="AG87" s="246"/>
    </row>
    <row r="88" spans="3:33" x14ac:dyDescent="0.15"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  <c r="AB88" s="246"/>
      <c r="AC88" s="246"/>
      <c r="AD88" s="246"/>
      <c r="AE88" s="246"/>
      <c r="AF88" s="246"/>
      <c r="AG88" s="246"/>
    </row>
    <row r="89" spans="3:33" x14ac:dyDescent="0.15"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  <c r="AD89" s="246"/>
      <c r="AE89" s="246"/>
      <c r="AF89" s="246"/>
      <c r="AG89" s="246"/>
    </row>
    <row r="90" spans="3:33" x14ac:dyDescent="0.15"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  <c r="AB90" s="246"/>
      <c r="AC90" s="246"/>
      <c r="AD90" s="246"/>
      <c r="AE90" s="246"/>
      <c r="AF90" s="246"/>
      <c r="AG90" s="246"/>
    </row>
    <row r="91" spans="3:33" x14ac:dyDescent="0.15"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  <c r="AF91" s="246"/>
      <c r="AG91" s="246"/>
    </row>
    <row r="92" spans="3:33" x14ac:dyDescent="0.15"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6"/>
      <c r="AC92" s="246"/>
      <c r="AD92" s="246"/>
      <c r="AE92" s="246"/>
      <c r="AF92" s="246"/>
      <c r="AG92" s="246"/>
    </row>
    <row r="93" spans="3:33" x14ac:dyDescent="0.15"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  <c r="AF93" s="246"/>
      <c r="AG93" s="246"/>
    </row>
    <row r="94" spans="3:33" x14ac:dyDescent="0.15"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  <c r="AF94" s="246"/>
      <c r="AG94" s="246"/>
    </row>
    <row r="95" spans="3:33" x14ac:dyDescent="0.15"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  <c r="AD95" s="246"/>
      <c r="AE95" s="246"/>
      <c r="AF95" s="246"/>
      <c r="AG95" s="246"/>
    </row>
    <row r="96" spans="3:33" x14ac:dyDescent="0.15"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  <c r="AD96" s="246"/>
      <c r="AE96" s="246"/>
      <c r="AF96" s="246"/>
      <c r="AG96" s="246"/>
    </row>
    <row r="97" spans="3:33" x14ac:dyDescent="0.15"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</row>
    <row r="98" spans="3:33" x14ac:dyDescent="0.15"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  <c r="AD98" s="246"/>
      <c r="AE98" s="246"/>
      <c r="AF98" s="246"/>
      <c r="AG98" s="246"/>
    </row>
    <row r="99" spans="3:33" x14ac:dyDescent="0.15"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  <c r="AF99" s="246"/>
      <c r="AG99" s="246"/>
    </row>
    <row r="100" spans="3:33" x14ac:dyDescent="0.15"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  <c r="AF100" s="246"/>
      <c r="AG100" s="246"/>
    </row>
    <row r="101" spans="3:33" x14ac:dyDescent="0.15"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  <c r="AF101" s="246"/>
      <c r="AG101" s="246"/>
    </row>
    <row r="102" spans="3:33" x14ac:dyDescent="0.15"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  <c r="AF102" s="246"/>
      <c r="AG102" s="246"/>
    </row>
    <row r="103" spans="3:33" x14ac:dyDescent="0.15"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  <c r="AF103" s="246"/>
      <c r="AG103" s="246"/>
    </row>
    <row r="104" spans="3:33" x14ac:dyDescent="0.15"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  <c r="AD104" s="246"/>
      <c r="AE104" s="246"/>
      <c r="AF104" s="246"/>
      <c r="AG104" s="246"/>
    </row>
    <row r="105" spans="3:33" x14ac:dyDescent="0.15"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6"/>
      <c r="AG105" s="246"/>
    </row>
    <row r="106" spans="3:33" x14ac:dyDescent="0.15"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6"/>
      <c r="AG106" s="246"/>
    </row>
    <row r="107" spans="3:33" x14ac:dyDescent="0.15"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6"/>
      <c r="AG107" s="246"/>
    </row>
    <row r="108" spans="3:33" x14ac:dyDescent="0.15"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246"/>
      <c r="AE108" s="246"/>
      <c r="AF108" s="246"/>
      <c r="AG108" s="246"/>
    </row>
    <row r="109" spans="3:33" x14ac:dyDescent="0.15"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  <c r="AF109" s="246"/>
      <c r="AG109" s="246"/>
    </row>
    <row r="110" spans="3:33" x14ac:dyDescent="0.15"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</row>
    <row r="111" spans="3:33" x14ac:dyDescent="0.15"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46"/>
      <c r="AE111" s="246"/>
      <c r="AF111" s="246"/>
      <c r="AG111" s="246"/>
    </row>
    <row r="112" spans="3:33" x14ac:dyDescent="0.15"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  <c r="AF112" s="246"/>
      <c r="AG112" s="246"/>
    </row>
    <row r="113" spans="3:33" x14ac:dyDescent="0.15"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46"/>
      <c r="AE113" s="246"/>
      <c r="AF113" s="246"/>
      <c r="AG113" s="246"/>
    </row>
    <row r="114" spans="3:33" x14ac:dyDescent="0.15"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46"/>
      <c r="AE114" s="246"/>
      <c r="AF114" s="246"/>
      <c r="AG114" s="246"/>
    </row>
    <row r="115" spans="3:33" x14ac:dyDescent="0.15"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  <c r="AF115" s="246"/>
      <c r="AG115" s="246"/>
    </row>
    <row r="116" spans="3:33" x14ac:dyDescent="0.15"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46"/>
      <c r="AE116" s="246"/>
      <c r="AF116" s="246"/>
      <c r="AG116" s="246"/>
    </row>
    <row r="117" spans="3:33" x14ac:dyDescent="0.15"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  <c r="AF117" s="246"/>
      <c r="AG117" s="246"/>
    </row>
    <row r="118" spans="3:33" x14ac:dyDescent="0.15"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46"/>
      <c r="AE118" s="246"/>
      <c r="AF118" s="246"/>
      <c r="AG118" s="246"/>
    </row>
    <row r="119" spans="3:33" x14ac:dyDescent="0.15"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246"/>
      <c r="AE119" s="246"/>
      <c r="AF119" s="246"/>
      <c r="AG119" s="246"/>
    </row>
    <row r="120" spans="3:33" x14ac:dyDescent="0.15"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  <c r="AD120" s="246"/>
      <c r="AE120" s="246"/>
      <c r="AF120" s="246"/>
      <c r="AG120" s="246"/>
    </row>
    <row r="121" spans="3:33" x14ac:dyDescent="0.15"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246"/>
      <c r="AE121" s="246"/>
      <c r="AF121" s="246"/>
      <c r="AG121" s="246"/>
    </row>
    <row r="122" spans="3:33" x14ac:dyDescent="0.15"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  <c r="AD122" s="246"/>
      <c r="AE122" s="246"/>
      <c r="AF122" s="246"/>
      <c r="AG122" s="246"/>
    </row>
    <row r="123" spans="3:33" x14ac:dyDescent="0.15"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  <c r="AF123" s="246"/>
      <c r="AG123" s="246"/>
    </row>
    <row r="124" spans="3:33" x14ac:dyDescent="0.15"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  <c r="AF124" s="246"/>
      <c r="AG124" s="246"/>
    </row>
    <row r="125" spans="3:33" x14ac:dyDescent="0.15"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  <c r="AF125" s="246"/>
      <c r="AG125" s="246"/>
    </row>
    <row r="126" spans="3:33" x14ac:dyDescent="0.15"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  <c r="AD126" s="246"/>
      <c r="AE126" s="246"/>
      <c r="AF126" s="246"/>
      <c r="AG126" s="246"/>
    </row>
    <row r="127" spans="3:33" x14ac:dyDescent="0.15"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  <c r="AF127" s="246"/>
      <c r="AG127" s="246"/>
    </row>
    <row r="128" spans="3:33" x14ac:dyDescent="0.15"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246"/>
      <c r="AB128" s="246"/>
      <c r="AC128" s="246"/>
      <c r="AD128" s="246"/>
      <c r="AE128" s="246"/>
      <c r="AF128" s="246"/>
      <c r="AG128" s="246"/>
    </row>
    <row r="129" spans="3:33" x14ac:dyDescent="0.15"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  <c r="AB129" s="246"/>
      <c r="AC129" s="246"/>
      <c r="AD129" s="246"/>
      <c r="AE129" s="246"/>
      <c r="AF129" s="246"/>
      <c r="AG129" s="246"/>
    </row>
    <row r="130" spans="3:33" x14ac:dyDescent="0.15"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  <c r="AB130" s="246"/>
      <c r="AC130" s="246"/>
      <c r="AD130" s="246"/>
      <c r="AE130" s="246"/>
      <c r="AF130" s="246"/>
      <c r="AG130" s="246"/>
    </row>
    <row r="131" spans="3:33" x14ac:dyDescent="0.15"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  <c r="AD131" s="246"/>
      <c r="AE131" s="246"/>
      <c r="AF131" s="246"/>
      <c r="AG131" s="246"/>
    </row>
    <row r="132" spans="3:33" x14ac:dyDescent="0.15"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246"/>
      <c r="AB132" s="246"/>
      <c r="AC132" s="246"/>
      <c r="AD132" s="246"/>
      <c r="AE132" s="246"/>
      <c r="AF132" s="246"/>
      <c r="AG132" s="246"/>
    </row>
    <row r="133" spans="3:33" x14ac:dyDescent="0.15"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  <c r="AB133" s="246"/>
      <c r="AC133" s="246"/>
      <c r="AD133" s="246"/>
      <c r="AE133" s="246"/>
      <c r="AF133" s="246"/>
      <c r="AG133" s="246"/>
    </row>
    <row r="134" spans="3:33" x14ac:dyDescent="0.15"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246"/>
      <c r="AB134" s="246"/>
      <c r="AC134" s="246"/>
      <c r="AD134" s="246"/>
      <c r="AE134" s="246"/>
      <c r="AF134" s="246"/>
      <c r="AG134" s="246"/>
    </row>
    <row r="135" spans="3:33" x14ac:dyDescent="0.15"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  <c r="AD135" s="246"/>
      <c r="AE135" s="246"/>
      <c r="AF135" s="246"/>
      <c r="AG135" s="246"/>
    </row>
    <row r="136" spans="3:33" x14ac:dyDescent="0.15"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246"/>
      <c r="AB136" s="246"/>
      <c r="AC136" s="246"/>
      <c r="AD136" s="246"/>
      <c r="AE136" s="246"/>
      <c r="AF136" s="246"/>
      <c r="AG136" s="246"/>
    </row>
    <row r="137" spans="3:33" x14ac:dyDescent="0.15"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  <c r="AD137" s="246"/>
      <c r="AE137" s="246"/>
      <c r="AF137" s="246"/>
      <c r="AG137" s="246"/>
    </row>
    <row r="138" spans="3:33" x14ac:dyDescent="0.15"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246"/>
      <c r="AB138" s="246"/>
      <c r="AC138" s="246"/>
      <c r="AD138" s="246"/>
      <c r="AE138" s="246"/>
      <c r="AF138" s="246"/>
      <c r="AG138" s="246"/>
    </row>
    <row r="139" spans="3:33" x14ac:dyDescent="0.15"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6"/>
      <c r="AC139" s="246"/>
      <c r="AD139" s="246"/>
      <c r="AE139" s="246"/>
      <c r="AF139" s="246"/>
      <c r="AG139" s="246"/>
    </row>
    <row r="140" spans="3:33" x14ac:dyDescent="0.15"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246"/>
      <c r="AB140" s="246"/>
      <c r="AC140" s="246"/>
      <c r="AD140" s="246"/>
      <c r="AE140" s="246"/>
      <c r="AF140" s="246"/>
      <c r="AG140" s="246"/>
    </row>
    <row r="141" spans="3:33" x14ac:dyDescent="0.15"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246"/>
      <c r="AC141" s="246"/>
      <c r="AD141" s="246"/>
      <c r="AE141" s="246"/>
      <c r="AF141" s="246"/>
      <c r="AG141" s="246"/>
    </row>
    <row r="142" spans="3:33" x14ac:dyDescent="0.15"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  <c r="AB142" s="246"/>
      <c r="AC142" s="246"/>
      <c r="AD142" s="246"/>
      <c r="AE142" s="246"/>
      <c r="AF142" s="246"/>
      <c r="AG142" s="246"/>
    </row>
    <row r="143" spans="3:33" x14ac:dyDescent="0.15"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  <c r="AF143" s="246"/>
      <c r="AG143" s="246"/>
    </row>
    <row r="144" spans="3:33" x14ac:dyDescent="0.15"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  <c r="AF144" s="246"/>
      <c r="AG144" s="246"/>
    </row>
    <row r="145" spans="3:33" x14ac:dyDescent="0.15"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  <c r="AF145" s="246"/>
      <c r="AG145" s="246"/>
    </row>
    <row r="146" spans="3:33" x14ac:dyDescent="0.15"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  <c r="AD146" s="246"/>
      <c r="AE146" s="246"/>
      <c r="AF146" s="246"/>
      <c r="AG146" s="246"/>
    </row>
    <row r="147" spans="3:33" x14ac:dyDescent="0.15"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  <c r="AF147" s="246"/>
      <c r="AG147" s="246"/>
    </row>
    <row r="148" spans="3:33" x14ac:dyDescent="0.15"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246"/>
      <c r="AE148" s="246"/>
      <c r="AF148" s="246"/>
      <c r="AG148" s="246"/>
    </row>
    <row r="149" spans="3:33" x14ac:dyDescent="0.15"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  <c r="AF149" s="246"/>
      <c r="AG149" s="246"/>
    </row>
    <row r="150" spans="3:33" x14ac:dyDescent="0.15"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  <c r="AA150" s="246"/>
      <c r="AB150" s="246"/>
      <c r="AC150" s="246"/>
      <c r="AD150" s="246"/>
      <c r="AE150" s="246"/>
      <c r="AF150" s="246"/>
      <c r="AG150" s="246"/>
    </row>
    <row r="151" spans="3:33" x14ac:dyDescent="0.15"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  <c r="AA151" s="246"/>
      <c r="AB151" s="246"/>
      <c r="AC151" s="246"/>
      <c r="AD151" s="246"/>
      <c r="AE151" s="246"/>
      <c r="AF151" s="246"/>
      <c r="AG151" s="246"/>
    </row>
    <row r="152" spans="3:33" x14ac:dyDescent="0.15"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  <c r="AA152" s="246"/>
      <c r="AB152" s="246"/>
      <c r="AC152" s="246"/>
      <c r="AD152" s="246"/>
      <c r="AE152" s="246"/>
      <c r="AF152" s="246"/>
      <c r="AG152" s="246"/>
    </row>
    <row r="153" spans="3:33" x14ac:dyDescent="0.15"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  <c r="AA153" s="246"/>
      <c r="AB153" s="246"/>
      <c r="AC153" s="246"/>
      <c r="AD153" s="246"/>
      <c r="AE153" s="246"/>
      <c r="AF153" s="246"/>
      <c r="AG153" s="246"/>
    </row>
    <row r="154" spans="3:33" x14ac:dyDescent="0.15"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  <c r="AF154" s="246"/>
      <c r="AG154" s="246"/>
    </row>
    <row r="155" spans="3:33" x14ac:dyDescent="0.15"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  <c r="AA155" s="246"/>
      <c r="AB155" s="246"/>
      <c r="AC155" s="246"/>
      <c r="AD155" s="246"/>
      <c r="AE155" s="246"/>
      <c r="AF155" s="246"/>
      <c r="AG155" s="246"/>
    </row>
    <row r="156" spans="3:33" x14ac:dyDescent="0.15"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  <c r="AA156" s="246"/>
      <c r="AB156" s="246"/>
      <c r="AC156" s="246"/>
      <c r="AD156" s="246"/>
      <c r="AE156" s="246"/>
      <c r="AF156" s="246"/>
      <c r="AG156" s="246"/>
    </row>
    <row r="157" spans="3:33" x14ac:dyDescent="0.15"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6"/>
      <c r="AG157" s="246"/>
    </row>
    <row r="158" spans="3:33" x14ac:dyDescent="0.15"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6"/>
      <c r="AG158" s="246"/>
    </row>
    <row r="159" spans="3:33" x14ac:dyDescent="0.15"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6"/>
      <c r="AG159" s="246"/>
    </row>
    <row r="160" spans="3:33" x14ac:dyDescent="0.15"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  <c r="AA160" s="246"/>
      <c r="AB160" s="246"/>
      <c r="AC160" s="246"/>
      <c r="AD160" s="246"/>
      <c r="AE160" s="246"/>
      <c r="AF160" s="246"/>
      <c r="AG160" s="246"/>
    </row>
    <row r="161" spans="3:33" x14ac:dyDescent="0.15"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  <c r="AB161" s="246"/>
      <c r="AC161" s="246"/>
      <c r="AD161" s="246"/>
      <c r="AE161" s="246"/>
      <c r="AF161" s="246"/>
      <c r="AG161" s="246"/>
    </row>
    <row r="162" spans="3:33" x14ac:dyDescent="0.15"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  <c r="AB162" s="246"/>
      <c r="AC162" s="246"/>
      <c r="AD162" s="246"/>
      <c r="AE162" s="246"/>
      <c r="AF162" s="246"/>
      <c r="AG162" s="246"/>
    </row>
    <row r="163" spans="3:33" x14ac:dyDescent="0.15"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  <c r="AA163" s="246"/>
      <c r="AB163" s="246"/>
      <c r="AC163" s="246"/>
      <c r="AD163" s="246"/>
      <c r="AE163" s="246"/>
      <c r="AF163" s="246"/>
      <c r="AG163" s="246"/>
    </row>
    <row r="164" spans="3:33" x14ac:dyDescent="0.15"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  <c r="AA164" s="246"/>
      <c r="AB164" s="246"/>
      <c r="AC164" s="246"/>
      <c r="AD164" s="246"/>
      <c r="AE164" s="246"/>
      <c r="AF164" s="246"/>
      <c r="AG164" s="246"/>
    </row>
    <row r="165" spans="3:33" x14ac:dyDescent="0.15"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  <c r="AA165" s="246"/>
      <c r="AB165" s="246"/>
      <c r="AC165" s="246"/>
      <c r="AD165" s="246"/>
      <c r="AE165" s="246"/>
      <c r="AF165" s="246"/>
      <c r="AG165" s="246"/>
    </row>
    <row r="166" spans="3:33" x14ac:dyDescent="0.15"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  <c r="AA166" s="246"/>
      <c r="AB166" s="246"/>
      <c r="AC166" s="246"/>
      <c r="AD166" s="246"/>
      <c r="AE166" s="246"/>
      <c r="AF166" s="246"/>
      <c r="AG166" s="246"/>
    </row>
    <row r="167" spans="3:33" x14ac:dyDescent="0.15"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  <c r="AB167" s="246"/>
      <c r="AC167" s="246"/>
      <c r="AD167" s="246"/>
      <c r="AE167" s="246"/>
      <c r="AF167" s="246"/>
      <c r="AG167" s="246"/>
    </row>
    <row r="168" spans="3:33" x14ac:dyDescent="0.15"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  <c r="AA168" s="246"/>
      <c r="AB168" s="246"/>
      <c r="AC168" s="246"/>
      <c r="AD168" s="246"/>
      <c r="AE168" s="246"/>
      <c r="AF168" s="246"/>
      <c r="AG168" s="246"/>
    </row>
    <row r="169" spans="3:33" x14ac:dyDescent="0.15"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  <c r="AA169" s="246"/>
      <c r="AB169" s="246"/>
      <c r="AC169" s="246"/>
      <c r="AD169" s="246"/>
      <c r="AE169" s="246"/>
      <c r="AF169" s="246"/>
      <c r="AG169" s="246"/>
    </row>
    <row r="170" spans="3:33" x14ac:dyDescent="0.15"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  <c r="AB170" s="246"/>
      <c r="AC170" s="246"/>
      <c r="AD170" s="246"/>
      <c r="AE170" s="246"/>
      <c r="AF170" s="246"/>
      <c r="AG170" s="246"/>
    </row>
    <row r="171" spans="3:33" x14ac:dyDescent="0.15"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  <c r="AF171" s="246"/>
      <c r="AG171" s="246"/>
    </row>
    <row r="172" spans="3:33" x14ac:dyDescent="0.15"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  <c r="AB172" s="246"/>
      <c r="AC172" s="246"/>
      <c r="AD172" s="246"/>
      <c r="AE172" s="246"/>
      <c r="AF172" s="246"/>
      <c r="AG172" s="246"/>
    </row>
    <row r="173" spans="3:33" x14ac:dyDescent="0.15"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  <c r="AF173" s="246"/>
      <c r="AG173" s="246"/>
    </row>
    <row r="174" spans="3:33" x14ac:dyDescent="0.15"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  <c r="AB174" s="246"/>
      <c r="AC174" s="246"/>
      <c r="AD174" s="246"/>
      <c r="AE174" s="246"/>
      <c r="AF174" s="246"/>
      <c r="AG174" s="246"/>
    </row>
    <row r="175" spans="3:33" x14ac:dyDescent="0.15"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  <c r="AD175" s="246"/>
      <c r="AE175" s="246"/>
      <c r="AF175" s="246"/>
      <c r="AG175" s="246"/>
    </row>
    <row r="176" spans="3:33" x14ac:dyDescent="0.15"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  <c r="AB176" s="246"/>
      <c r="AC176" s="246"/>
      <c r="AD176" s="246"/>
      <c r="AE176" s="246"/>
      <c r="AF176" s="246"/>
      <c r="AG176" s="246"/>
    </row>
    <row r="177" spans="3:33" x14ac:dyDescent="0.15"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  <c r="AD177" s="246"/>
      <c r="AE177" s="246"/>
      <c r="AF177" s="246"/>
      <c r="AG177" s="246"/>
    </row>
    <row r="178" spans="3:33" x14ac:dyDescent="0.15"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  <c r="AB178" s="246"/>
      <c r="AC178" s="246"/>
      <c r="AD178" s="246"/>
      <c r="AE178" s="246"/>
      <c r="AF178" s="246"/>
      <c r="AG178" s="246"/>
    </row>
    <row r="179" spans="3:33" x14ac:dyDescent="0.15"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  <c r="AF179" s="246"/>
      <c r="AG179" s="246"/>
    </row>
    <row r="180" spans="3:33" x14ac:dyDescent="0.15"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  <c r="AF180" s="246"/>
      <c r="AG180" s="246"/>
    </row>
    <row r="181" spans="3:33" x14ac:dyDescent="0.15"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  <c r="AF181" s="246"/>
      <c r="AG181" s="246"/>
    </row>
    <row r="182" spans="3:33" x14ac:dyDescent="0.15"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  <c r="AF182" s="246"/>
      <c r="AG182" s="246"/>
    </row>
    <row r="183" spans="3:33" x14ac:dyDescent="0.15"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  <c r="AF183" s="246"/>
      <c r="AG183" s="246"/>
    </row>
    <row r="184" spans="3:33" x14ac:dyDescent="0.15"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  <c r="AD184" s="246"/>
      <c r="AE184" s="246"/>
      <c r="AF184" s="246"/>
      <c r="AG184" s="246"/>
    </row>
    <row r="185" spans="3:33" x14ac:dyDescent="0.15"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  <c r="AF185" s="246"/>
      <c r="AG185" s="246"/>
    </row>
    <row r="186" spans="3:33" x14ac:dyDescent="0.15"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  <c r="AF186" s="246"/>
      <c r="AG186" s="246"/>
    </row>
    <row r="187" spans="3:33" x14ac:dyDescent="0.15"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  <c r="AF187" s="246"/>
      <c r="AG187" s="246"/>
    </row>
    <row r="188" spans="3:33" x14ac:dyDescent="0.15"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  <c r="AF188" s="246"/>
      <c r="AG188" s="246"/>
    </row>
    <row r="189" spans="3:33" x14ac:dyDescent="0.15"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  <c r="AF189" s="246"/>
      <c r="AG189" s="246"/>
    </row>
    <row r="190" spans="3:33" x14ac:dyDescent="0.15"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  <c r="AF190" s="246"/>
      <c r="AG190" s="246"/>
    </row>
    <row r="191" spans="3:33" x14ac:dyDescent="0.15"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  <c r="AF191" s="246"/>
      <c r="AG191" s="246"/>
    </row>
    <row r="192" spans="3:33" x14ac:dyDescent="0.15"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  <c r="AF192" s="246"/>
      <c r="AG192" s="246"/>
    </row>
    <row r="193" spans="3:33" x14ac:dyDescent="0.15"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  <c r="AF193" s="246"/>
      <c r="AG193" s="246"/>
    </row>
    <row r="194" spans="3:33" x14ac:dyDescent="0.15"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  <c r="AF194" s="246"/>
      <c r="AG194" s="246"/>
    </row>
    <row r="195" spans="3:33" x14ac:dyDescent="0.15"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</row>
    <row r="196" spans="3:33" x14ac:dyDescent="0.15"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</row>
    <row r="197" spans="3:33" x14ac:dyDescent="0.15"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</row>
    <row r="198" spans="3:33" x14ac:dyDescent="0.15"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  <c r="AF198" s="246"/>
      <c r="AG198" s="246"/>
    </row>
    <row r="199" spans="3:33" x14ac:dyDescent="0.15"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</row>
    <row r="200" spans="3:33" x14ac:dyDescent="0.15"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  <c r="AF200" s="246"/>
      <c r="AG200" s="246"/>
    </row>
    <row r="201" spans="3:33" x14ac:dyDescent="0.15"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</row>
    <row r="202" spans="3:33" x14ac:dyDescent="0.15"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</row>
    <row r="203" spans="3:33" x14ac:dyDescent="0.15"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</row>
    <row r="204" spans="3:33" x14ac:dyDescent="0.15"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</row>
    <row r="205" spans="3:33" x14ac:dyDescent="0.15"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</row>
    <row r="206" spans="3:33" x14ac:dyDescent="0.15"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</row>
    <row r="207" spans="3:33" x14ac:dyDescent="0.15"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</row>
    <row r="208" spans="3:33" x14ac:dyDescent="0.15"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</row>
    <row r="209" spans="3:33" x14ac:dyDescent="0.15"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</row>
    <row r="210" spans="3:33" x14ac:dyDescent="0.15"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</row>
    <row r="211" spans="3:33" x14ac:dyDescent="0.15"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</row>
    <row r="212" spans="3:33" x14ac:dyDescent="0.15"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</row>
    <row r="213" spans="3:33" x14ac:dyDescent="0.15"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</row>
    <row r="214" spans="3:33" x14ac:dyDescent="0.15"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</row>
    <row r="215" spans="3:33" x14ac:dyDescent="0.15"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</row>
    <row r="216" spans="3:33" x14ac:dyDescent="0.15"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</row>
    <row r="217" spans="3:33" x14ac:dyDescent="0.15"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</row>
    <row r="218" spans="3:33" x14ac:dyDescent="0.15"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</row>
    <row r="219" spans="3:33" x14ac:dyDescent="0.15"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</row>
    <row r="220" spans="3:33" x14ac:dyDescent="0.15"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</row>
    <row r="221" spans="3:33" x14ac:dyDescent="0.15"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</row>
    <row r="222" spans="3:33" x14ac:dyDescent="0.15"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</row>
    <row r="223" spans="3:33" x14ac:dyDescent="0.15"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</row>
    <row r="224" spans="3:33" x14ac:dyDescent="0.15"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</row>
    <row r="225" spans="3:33" x14ac:dyDescent="0.15"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</row>
    <row r="226" spans="3:33" x14ac:dyDescent="0.15"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</row>
    <row r="227" spans="3:33" x14ac:dyDescent="0.15"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</row>
    <row r="228" spans="3:33" x14ac:dyDescent="0.15"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</row>
    <row r="229" spans="3:33" x14ac:dyDescent="0.15"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</row>
    <row r="230" spans="3:33" x14ac:dyDescent="0.15"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</row>
    <row r="231" spans="3:33" x14ac:dyDescent="0.15"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</row>
    <row r="232" spans="3:33" x14ac:dyDescent="0.15"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</row>
    <row r="233" spans="3:33" x14ac:dyDescent="0.15"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</row>
    <row r="234" spans="3:33" x14ac:dyDescent="0.15"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</row>
    <row r="235" spans="3:33" x14ac:dyDescent="0.15"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</row>
    <row r="236" spans="3:33" x14ac:dyDescent="0.15"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</row>
    <row r="237" spans="3:33" x14ac:dyDescent="0.15"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</row>
    <row r="238" spans="3:33" x14ac:dyDescent="0.15"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</row>
    <row r="239" spans="3:33" x14ac:dyDescent="0.15"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</row>
    <row r="240" spans="3:33" x14ac:dyDescent="0.15"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</row>
    <row r="241" spans="3:33" x14ac:dyDescent="0.15"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</row>
    <row r="242" spans="3:33" x14ac:dyDescent="0.15"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</row>
    <row r="243" spans="3:33" x14ac:dyDescent="0.15"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</row>
  </sheetData>
  <mergeCells count="8">
    <mergeCell ref="A48:B70"/>
    <mergeCell ref="C1:AG243"/>
    <mergeCell ref="A47:B47"/>
    <mergeCell ref="A1:B1"/>
    <mergeCell ref="A18:B18"/>
    <mergeCell ref="B38:B45"/>
    <mergeCell ref="A38:A45"/>
    <mergeCell ref="A46:B46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Q54"/>
  <sheetViews>
    <sheetView tabSelected="1" zoomScale="125" workbookViewId="0">
      <selection activeCell="H24" sqref="H24"/>
    </sheetView>
  </sheetViews>
  <sheetFormatPr baseColWidth="10" defaultColWidth="8.83203125" defaultRowHeight="13" x14ac:dyDescent="0.15"/>
  <cols>
    <col min="1" max="1" width="30.33203125" style="133" customWidth="1"/>
    <col min="2" max="2" width="50.1640625" style="133" customWidth="1"/>
    <col min="3" max="3" width="0.5" style="133" hidden="1" customWidth="1"/>
    <col min="4" max="6" width="8.83203125" style="133" hidden="1" customWidth="1"/>
    <col min="7" max="7" width="0.1640625" style="133" hidden="1" customWidth="1"/>
    <col min="8" max="16384" width="8.83203125" style="133"/>
  </cols>
  <sheetData>
    <row r="1" spans="1:17" ht="21.75" customHeight="1" x14ac:dyDescent="0.15">
      <c r="A1" s="261" t="s">
        <v>660</v>
      </c>
      <c r="B1" s="261"/>
      <c r="C1" s="261"/>
      <c r="D1" s="261"/>
      <c r="E1" s="261"/>
      <c r="F1" s="261"/>
      <c r="G1" s="262"/>
      <c r="H1" s="183" t="s">
        <v>443</v>
      </c>
      <c r="I1" s="183" t="s">
        <v>443</v>
      </c>
      <c r="J1" s="183" t="s">
        <v>443</v>
      </c>
      <c r="K1" s="183" t="s">
        <v>443</v>
      </c>
      <c r="L1" s="183" t="s">
        <v>443</v>
      </c>
      <c r="M1" s="183" t="s">
        <v>443</v>
      </c>
      <c r="N1" s="183" t="s">
        <v>443</v>
      </c>
      <c r="O1" s="183" t="s">
        <v>443</v>
      </c>
      <c r="P1" s="183" t="s">
        <v>443</v>
      </c>
      <c r="Q1" s="183" t="s">
        <v>443</v>
      </c>
    </row>
    <row r="2" spans="1:17" ht="19" x14ac:dyDescent="0.2">
      <c r="A2" s="260" t="s">
        <v>659</v>
      </c>
      <c r="B2" s="180" t="s">
        <v>658</v>
      </c>
      <c r="C2" s="139"/>
      <c r="D2" s="139"/>
      <c r="E2" s="139"/>
      <c r="F2" s="139"/>
      <c r="G2" s="139"/>
      <c r="H2" s="144"/>
      <c r="I2" s="144"/>
      <c r="J2" s="144"/>
      <c r="K2" s="144"/>
      <c r="L2" s="144"/>
      <c r="M2" s="144"/>
      <c r="N2" s="144"/>
      <c r="O2" s="144"/>
      <c r="P2" s="144"/>
      <c r="Q2" s="144"/>
    </row>
    <row r="3" spans="1:17" ht="18" x14ac:dyDescent="0.2">
      <c r="A3" s="260"/>
      <c r="B3" s="171" t="s">
        <v>657</v>
      </c>
      <c r="C3" s="139"/>
      <c r="D3" s="139"/>
      <c r="E3" s="139"/>
      <c r="F3" s="139"/>
      <c r="G3" s="139"/>
      <c r="H3" s="144"/>
      <c r="I3" s="144"/>
      <c r="J3" s="144"/>
      <c r="K3" s="144"/>
      <c r="L3" s="144"/>
      <c r="M3" s="144"/>
      <c r="N3" s="144"/>
      <c r="O3" s="144"/>
      <c r="P3" s="144"/>
      <c r="Q3" s="144"/>
    </row>
    <row r="4" spans="1:17" ht="18" x14ac:dyDescent="0.2">
      <c r="A4" s="260"/>
      <c r="B4" s="171" t="s">
        <v>656</v>
      </c>
      <c r="C4" s="139"/>
      <c r="D4" s="139"/>
      <c r="E4" s="139"/>
      <c r="F4" s="139"/>
      <c r="G4" s="139"/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ht="18" x14ac:dyDescent="0.2">
      <c r="A5" s="260"/>
      <c r="B5" s="181" t="s">
        <v>655</v>
      </c>
      <c r="C5" s="139"/>
      <c r="D5" s="139"/>
      <c r="E5" s="139"/>
      <c r="F5" s="139"/>
      <c r="G5" s="139"/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ht="18" x14ac:dyDescent="0.2">
      <c r="A6" s="263" t="s">
        <v>654</v>
      </c>
      <c r="B6" s="135" t="s">
        <v>653</v>
      </c>
      <c r="C6" s="139"/>
      <c r="D6" s="139"/>
      <c r="E6" s="139"/>
      <c r="F6" s="139"/>
      <c r="G6" s="139"/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ht="18" x14ac:dyDescent="0.2">
      <c r="A7" s="263"/>
      <c r="B7" s="135" t="s">
        <v>652</v>
      </c>
      <c r="C7" s="139"/>
      <c r="D7" s="139"/>
      <c r="E7" s="139"/>
      <c r="F7" s="139"/>
      <c r="G7" s="139"/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x14ac:dyDescent="0.2">
      <c r="A8" s="263"/>
      <c r="B8" s="135" t="s">
        <v>651</v>
      </c>
      <c r="C8" s="139"/>
      <c r="D8" s="139"/>
      <c r="E8" s="139"/>
      <c r="F8" s="139"/>
      <c r="G8" s="139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x14ac:dyDescent="0.2">
      <c r="A9" s="263"/>
      <c r="B9" s="135" t="s">
        <v>650</v>
      </c>
      <c r="C9" s="139"/>
      <c r="D9" s="139"/>
      <c r="E9" s="139"/>
      <c r="F9" s="139"/>
      <c r="G9" s="139"/>
      <c r="H9" s="144"/>
      <c r="I9" s="144"/>
      <c r="J9" s="144"/>
      <c r="K9" s="144"/>
      <c r="L9" s="144"/>
      <c r="M9" s="144"/>
      <c r="N9" s="144"/>
      <c r="O9" s="144"/>
      <c r="P9" s="144"/>
      <c r="Q9" s="144"/>
    </row>
    <row r="10" spans="1:17" ht="18" x14ac:dyDescent="0.2">
      <c r="A10" s="260" t="s">
        <v>649</v>
      </c>
      <c r="B10" s="171" t="s">
        <v>648</v>
      </c>
      <c r="C10" s="139"/>
      <c r="D10" s="139"/>
      <c r="E10" s="139"/>
      <c r="F10" s="139"/>
      <c r="G10" s="139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7" ht="18" x14ac:dyDescent="0.2">
      <c r="A11" s="260"/>
      <c r="B11" s="171" t="s">
        <v>647</v>
      </c>
      <c r="C11" s="139"/>
      <c r="D11" s="139"/>
      <c r="E11" s="139"/>
      <c r="F11" s="139"/>
      <c r="G11" s="139"/>
      <c r="H11" s="144"/>
      <c r="I11" s="144"/>
      <c r="J11" s="144"/>
      <c r="K11" s="144"/>
      <c r="L11" s="144"/>
      <c r="M11" s="144"/>
      <c r="N11" s="144"/>
      <c r="O11" s="144"/>
      <c r="P11" s="144"/>
      <c r="Q11" s="144"/>
    </row>
    <row r="12" spans="1:17" ht="18" x14ac:dyDescent="0.2">
      <c r="A12" s="263" t="s">
        <v>646</v>
      </c>
      <c r="B12" s="135" t="s">
        <v>645</v>
      </c>
      <c r="C12" s="139"/>
      <c r="D12" s="139"/>
      <c r="E12" s="139"/>
      <c r="F12" s="139"/>
      <c r="G12" s="139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8" x14ac:dyDescent="0.2">
      <c r="A13" s="263"/>
      <c r="B13" s="135" t="s">
        <v>644</v>
      </c>
      <c r="C13" s="139"/>
      <c r="D13" s="139"/>
      <c r="E13" s="139"/>
      <c r="F13" s="139"/>
      <c r="G13" s="139"/>
      <c r="H13" s="144"/>
      <c r="I13" s="144"/>
      <c r="J13" s="144"/>
      <c r="K13" s="144"/>
      <c r="L13" s="144"/>
      <c r="M13" s="144"/>
      <c r="N13" s="144"/>
      <c r="O13" s="144"/>
      <c r="P13" s="144"/>
      <c r="Q13" s="144"/>
    </row>
    <row r="14" spans="1:17" ht="18" x14ac:dyDescent="0.2">
      <c r="A14" s="263"/>
      <c r="B14" s="135" t="s">
        <v>643</v>
      </c>
      <c r="C14" s="139"/>
      <c r="D14" s="139"/>
      <c r="E14" s="139"/>
      <c r="F14" s="139"/>
      <c r="G14" s="139"/>
      <c r="H14" s="144"/>
      <c r="I14" s="144"/>
      <c r="J14" s="144"/>
      <c r="K14" s="144"/>
      <c r="L14" s="144"/>
      <c r="M14" s="144"/>
      <c r="N14" s="144"/>
      <c r="O14" s="144"/>
      <c r="P14" s="144"/>
      <c r="Q14" s="144"/>
    </row>
    <row r="15" spans="1:17" ht="18" x14ac:dyDescent="0.2">
      <c r="A15" s="263"/>
      <c r="B15" s="135" t="s">
        <v>642</v>
      </c>
      <c r="C15" s="139"/>
      <c r="D15" s="139"/>
      <c r="E15" s="139"/>
      <c r="F15" s="139"/>
      <c r="G15" s="139"/>
      <c r="H15" s="144"/>
      <c r="I15" s="144"/>
      <c r="J15" s="144"/>
      <c r="K15" s="144"/>
      <c r="L15" s="144"/>
      <c r="M15" s="144"/>
      <c r="N15" s="144"/>
      <c r="O15" s="144"/>
      <c r="P15" s="144"/>
      <c r="Q15" s="144"/>
    </row>
    <row r="16" spans="1:17" ht="18" x14ac:dyDescent="0.2">
      <c r="A16" s="260" t="s">
        <v>641</v>
      </c>
      <c r="B16" s="171" t="s">
        <v>640</v>
      </c>
      <c r="C16" s="139"/>
      <c r="D16" s="139"/>
      <c r="E16" s="139"/>
      <c r="F16" s="139"/>
      <c r="G16" s="139"/>
      <c r="H16" s="144"/>
      <c r="I16" s="144"/>
      <c r="J16" s="144"/>
      <c r="K16" s="144"/>
      <c r="L16" s="144"/>
      <c r="M16" s="144"/>
      <c r="N16" s="144"/>
      <c r="O16" s="144"/>
      <c r="P16" s="144"/>
      <c r="Q16" s="144"/>
    </row>
    <row r="17" spans="1:17" ht="18" x14ac:dyDescent="0.2">
      <c r="A17" s="260"/>
      <c r="B17" s="171" t="s">
        <v>639</v>
      </c>
      <c r="C17" s="139"/>
      <c r="D17" s="139"/>
      <c r="E17" s="139"/>
      <c r="F17" s="139"/>
      <c r="G17" s="139"/>
      <c r="H17" s="144"/>
      <c r="I17" s="144"/>
      <c r="J17" s="144"/>
      <c r="K17" s="144"/>
      <c r="L17" s="144"/>
      <c r="M17" s="144"/>
      <c r="N17" s="144"/>
      <c r="O17" s="144"/>
      <c r="P17" s="144"/>
      <c r="Q17" s="144"/>
    </row>
    <row r="18" spans="1:17" ht="18" x14ac:dyDescent="0.2">
      <c r="A18" s="260"/>
      <c r="B18" s="171" t="s">
        <v>638</v>
      </c>
      <c r="C18" s="139"/>
      <c r="D18" s="139"/>
      <c r="E18" s="139"/>
      <c r="F18" s="139"/>
      <c r="G18" s="139"/>
      <c r="H18" s="144"/>
      <c r="I18" s="144"/>
      <c r="J18" s="144"/>
      <c r="K18" s="144"/>
      <c r="L18" s="144"/>
      <c r="M18" s="144"/>
      <c r="N18" s="144"/>
      <c r="O18" s="144"/>
      <c r="P18" s="144"/>
      <c r="Q18" s="144"/>
    </row>
    <row r="19" spans="1:17" ht="18" x14ac:dyDescent="0.2">
      <c r="A19" s="260"/>
      <c r="B19" s="171" t="s">
        <v>637</v>
      </c>
      <c r="C19" s="139"/>
      <c r="D19" s="139"/>
      <c r="E19" s="139"/>
      <c r="F19" s="139"/>
      <c r="G19" s="139"/>
      <c r="H19" s="144"/>
      <c r="I19" s="144"/>
      <c r="J19" s="144"/>
      <c r="K19" s="144"/>
      <c r="L19" s="144"/>
      <c r="M19" s="144"/>
      <c r="N19" s="144"/>
      <c r="O19" s="144"/>
      <c r="P19" s="144"/>
      <c r="Q19" s="144"/>
    </row>
    <row r="20" spans="1:17" ht="18" x14ac:dyDescent="0.2">
      <c r="A20" s="263" t="s">
        <v>636</v>
      </c>
      <c r="B20" s="135" t="s">
        <v>635</v>
      </c>
      <c r="C20" s="139"/>
      <c r="D20" s="139"/>
      <c r="E20" s="139"/>
      <c r="F20" s="139"/>
      <c r="G20" s="139"/>
      <c r="H20" s="144"/>
      <c r="I20" s="144"/>
      <c r="J20" s="144"/>
      <c r="K20" s="144"/>
      <c r="L20" s="144"/>
      <c r="M20" s="144"/>
      <c r="N20" s="144"/>
      <c r="O20" s="144"/>
      <c r="P20" s="144"/>
      <c r="Q20" s="144"/>
    </row>
    <row r="21" spans="1:17" ht="18" x14ac:dyDescent="0.2">
      <c r="A21" s="263"/>
      <c r="B21" s="135" t="s">
        <v>634</v>
      </c>
      <c r="C21" s="139"/>
      <c r="D21" s="139"/>
      <c r="E21" s="139"/>
      <c r="F21" s="139"/>
      <c r="G21" s="139"/>
      <c r="H21" s="144"/>
      <c r="I21" s="144"/>
      <c r="J21" s="144"/>
      <c r="K21" s="144"/>
      <c r="L21" s="144"/>
      <c r="M21" s="144"/>
      <c r="N21" s="144"/>
      <c r="O21" s="144"/>
      <c r="P21" s="144"/>
      <c r="Q21" s="144"/>
    </row>
    <row r="22" spans="1:17" ht="18" x14ac:dyDescent="0.2">
      <c r="A22" s="263"/>
      <c r="B22" s="135" t="s">
        <v>633</v>
      </c>
      <c r="C22" s="139"/>
      <c r="D22" s="139"/>
      <c r="E22" s="139"/>
      <c r="F22" s="139"/>
      <c r="G22" s="139"/>
      <c r="H22" s="144"/>
      <c r="I22" s="144"/>
      <c r="J22" s="144"/>
      <c r="K22" s="144"/>
      <c r="L22" s="144"/>
      <c r="M22" s="144"/>
      <c r="N22" s="144"/>
      <c r="O22" s="144"/>
      <c r="P22" s="144"/>
      <c r="Q22" s="144"/>
    </row>
    <row r="23" spans="1:17" ht="18" x14ac:dyDescent="0.2">
      <c r="A23" s="263"/>
      <c r="B23" s="135" t="s">
        <v>632</v>
      </c>
      <c r="C23" s="139"/>
      <c r="D23" s="139"/>
      <c r="E23" s="139"/>
      <c r="F23" s="139"/>
      <c r="G23" s="139"/>
      <c r="H23" s="144"/>
      <c r="I23" s="144"/>
      <c r="J23" s="144"/>
      <c r="K23" s="144"/>
      <c r="L23" s="144"/>
      <c r="M23" s="144"/>
      <c r="N23" s="144"/>
      <c r="O23" s="144"/>
      <c r="P23" s="144"/>
      <c r="Q23" s="144"/>
    </row>
    <row r="24" spans="1:17" ht="18" x14ac:dyDescent="0.2">
      <c r="A24" s="263"/>
      <c r="B24" s="135" t="s">
        <v>631</v>
      </c>
      <c r="C24" s="139"/>
      <c r="D24" s="139"/>
      <c r="E24" s="139"/>
      <c r="F24" s="139"/>
      <c r="G24" s="139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7" ht="18" x14ac:dyDescent="0.2">
      <c r="A25" s="260" t="s">
        <v>630</v>
      </c>
      <c r="B25" s="171" t="s">
        <v>629</v>
      </c>
      <c r="C25" s="139"/>
      <c r="D25" s="139"/>
      <c r="E25" s="139"/>
      <c r="F25" s="139"/>
      <c r="G25" s="139"/>
      <c r="H25" s="144"/>
      <c r="I25" s="144"/>
      <c r="J25" s="144"/>
      <c r="K25" s="144"/>
      <c r="L25" s="144"/>
      <c r="M25" s="144"/>
      <c r="N25" s="144"/>
      <c r="O25" s="144"/>
      <c r="P25" s="144"/>
      <c r="Q25" s="144"/>
    </row>
    <row r="26" spans="1:17" ht="18" x14ac:dyDescent="0.2">
      <c r="A26" s="260"/>
      <c r="B26" s="171" t="s">
        <v>628</v>
      </c>
      <c r="C26" s="139"/>
      <c r="D26" s="139"/>
      <c r="E26" s="139"/>
      <c r="F26" s="139"/>
      <c r="G26" s="139"/>
      <c r="H26" s="144"/>
      <c r="I26" s="144"/>
      <c r="J26" s="144"/>
      <c r="K26" s="144"/>
      <c r="L26" s="144"/>
      <c r="M26" s="144"/>
      <c r="N26" s="144"/>
      <c r="O26" s="144"/>
      <c r="P26" s="144"/>
      <c r="Q26" s="144"/>
    </row>
    <row r="27" spans="1:17" ht="18" x14ac:dyDescent="0.2">
      <c r="A27" s="260"/>
      <c r="B27" s="171" t="s">
        <v>627</v>
      </c>
      <c r="C27" s="139"/>
      <c r="D27" s="139"/>
      <c r="E27" s="139"/>
      <c r="F27" s="139"/>
      <c r="G27" s="139"/>
      <c r="H27" s="144"/>
      <c r="I27" s="144"/>
      <c r="J27" s="144"/>
      <c r="K27" s="144"/>
      <c r="L27" s="144"/>
      <c r="M27" s="144"/>
      <c r="N27" s="144"/>
      <c r="O27" s="144"/>
      <c r="P27" s="144"/>
      <c r="Q27" s="144"/>
    </row>
    <row r="28" spans="1:17" ht="18" x14ac:dyDescent="0.2">
      <c r="A28" s="271" t="s">
        <v>626</v>
      </c>
      <c r="B28" s="140" t="s">
        <v>625</v>
      </c>
      <c r="C28" s="139"/>
      <c r="D28" s="139"/>
      <c r="E28" s="139"/>
      <c r="F28" s="139"/>
      <c r="G28" s="139"/>
      <c r="H28" s="144"/>
      <c r="I28" s="144"/>
      <c r="J28" s="144"/>
      <c r="K28" s="144"/>
      <c r="L28" s="144"/>
      <c r="M28" s="144"/>
      <c r="N28" s="144"/>
      <c r="O28" s="144"/>
      <c r="P28" s="144"/>
      <c r="Q28" s="144"/>
    </row>
    <row r="29" spans="1:17" ht="18" x14ac:dyDescent="0.2">
      <c r="A29" s="272"/>
      <c r="B29" s="140" t="s">
        <v>624</v>
      </c>
      <c r="C29" s="139"/>
      <c r="D29" s="139"/>
      <c r="E29" s="139"/>
      <c r="F29" s="139"/>
      <c r="G29" s="139"/>
      <c r="H29" s="144"/>
      <c r="I29" s="144"/>
      <c r="J29" s="144"/>
      <c r="K29" s="144"/>
      <c r="L29" s="144"/>
      <c r="M29" s="144"/>
      <c r="N29" s="144"/>
      <c r="O29" s="144"/>
      <c r="P29" s="144"/>
      <c r="Q29" s="144"/>
    </row>
    <row r="30" spans="1:17" ht="18" x14ac:dyDescent="0.2">
      <c r="A30" s="260" t="s">
        <v>623</v>
      </c>
      <c r="B30" s="171" t="s">
        <v>622</v>
      </c>
      <c r="C30" s="139"/>
      <c r="D30" s="139"/>
      <c r="E30" s="139"/>
      <c r="F30" s="139"/>
      <c r="G30" s="139"/>
      <c r="H30" s="144"/>
      <c r="I30" s="144"/>
      <c r="J30" s="144"/>
      <c r="K30" s="144"/>
      <c r="L30" s="144"/>
      <c r="M30" s="144"/>
      <c r="N30" s="144"/>
      <c r="O30" s="144"/>
      <c r="P30" s="144"/>
      <c r="Q30" s="144"/>
    </row>
    <row r="31" spans="1:17" ht="18" x14ac:dyDescent="0.2">
      <c r="A31" s="260"/>
      <c r="B31" s="171" t="s">
        <v>621</v>
      </c>
      <c r="C31" s="139"/>
      <c r="D31" s="139"/>
      <c r="E31" s="139"/>
      <c r="F31" s="139"/>
      <c r="G31" s="139"/>
      <c r="H31" s="144"/>
      <c r="I31" s="144"/>
      <c r="J31" s="144"/>
      <c r="K31" s="144"/>
      <c r="L31" s="144"/>
      <c r="M31" s="144"/>
      <c r="N31" s="144"/>
      <c r="O31" s="144"/>
      <c r="P31" s="144"/>
      <c r="Q31" s="144"/>
    </row>
    <row r="32" spans="1:17" ht="18" x14ac:dyDescent="0.2">
      <c r="A32" s="260"/>
      <c r="B32" s="171" t="s">
        <v>620</v>
      </c>
      <c r="C32" s="139"/>
      <c r="D32" s="139"/>
      <c r="E32" s="139"/>
      <c r="F32" s="139"/>
      <c r="G32" s="139"/>
      <c r="H32" s="144"/>
      <c r="I32" s="144"/>
      <c r="J32" s="144"/>
      <c r="K32" s="144"/>
      <c r="L32" s="144"/>
      <c r="M32" s="144"/>
      <c r="N32" s="144"/>
      <c r="O32" s="144"/>
      <c r="P32" s="144"/>
      <c r="Q32" s="144"/>
    </row>
    <row r="33" spans="1:17" ht="18" x14ac:dyDescent="0.2">
      <c r="A33" s="260"/>
      <c r="B33" s="171" t="s">
        <v>619</v>
      </c>
      <c r="C33" s="139"/>
      <c r="D33" s="139"/>
      <c r="E33" s="139"/>
      <c r="F33" s="139"/>
      <c r="G33" s="139"/>
      <c r="H33" s="144"/>
      <c r="I33" s="144"/>
      <c r="J33" s="144"/>
      <c r="K33" s="144"/>
      <c r="L33" s="144"/>
      <c r="M33" s="144"/>
      <c r="N33" s="144"/>
      <c r="O33" s="144"/>
      <c r="P33" s="144"/>
      <c r="Q33" s="144"/>
    </row>
    <row r="34" spans="1:17" ht="18" x14ac:dyDescent="0.2">
      <c r="A34" s="260"/>
      <c r="B34" s="171" t="s">
        <v>618</v>
      </c>
      <c r="C34" s="139"/>
      <c r="D34" s="139"/>
      <c r="E34" s="139"/>
      <c r="F34" s="139"/>
      <c r="G34" s="139"/>
      <c r="H34" s="144"/>
      <c r="I34" s="144"/>
      <c r="J34" s="144"/>
      <c r="K34" s="144"/>
      <c r="L34" s="144"/>
      <c r="M34" s="144"/>
      <c r="N34" s="144"/>
      <c r="O34" s="144"/>
      <c r="P34" s="144"/>
      <c r="Q34" s="144"/>
    </row>
    <row r="35" spans="1:17" ht="18" x14ac:dyDescent="0.2">
      <c r="A35" s="260"/>
      <c r="B35" s="171" t="s">
        <v>617</v>
      </c>
      <c r="C35" s="139"/>
      <c r="D35" s="139"/>
      <c r="E35" s="139"/>
      <c r="F35" s="139"/>
      <c r="G35" s="139"/>
      <c r="H35" s="144"/>
      <c r="I35" s="144"/>
      <c r="J35" s="144"/>
      <c r="K35" s="144"/>
      <c r="L35" s="144"/>
      <c r="M35" s="144"/>
      <c r="N35" s="144"/>
      <c r="O35" s="144"/>
      <c r="P35" s="144"/>
      <c r="Q35" s="144"/>
    </row>
    <row r="36" spans="1:17" ht="18" x14ac:dyDescent="0.2">
      <c r="A36" s="260"/>
      <c r="B36" s="171" t="s">
        <v>616</v>
      </c>
      <c r="C36" s="139"/>
      <c r="D36" s="139"/>
      <c r="E36" s="139"/>
      <c r="F36" s="139"/>
      <c r="G36" s="139"/>
      <c r="H36" s="144"/>
      <c r="I36" s="144"/>
      <c r="J36" s="144"/>
      <c r="K36" s="144"/>
      <c r="L36" s="144"/>
      <c r="M36" s="144"/>
      <c r="N36" s="144"/>
      <c r="O36" s="144"/>
      <c r="P36" s="144"/>
      <c r="Q36" s="144"/>
    </row>
    <row r="37" spans="1:17" ht="18" x14ac:dyDescent="0.2">
      <c r="A37" s="268" t="s">
        <v>731</v>
      </c>
      <c r="B37" s="140" t="s">
        <v>615</v>
      </c>
      <c r="C37" s="139"/>
      <c r="D37" s="139"/>
      <c r="E37" s="139"/>
      <c r="F37" s="139"/>
      <c r="G37" s="139"/>
      <c r="H37" s="144"/>
      <c r="I37" s="144"/>
      <c r="J37" s="144"/>
      <c r="K37" s="144"/>
      <c r="L37" s="144"/>
      <c r="M37" s="144"/>
      <c r="N37" s="144"/>
      <c r="O37" s="144"/>
      <c r="P37" s="144"/>
      <c r="Q37" s="144"/>
    </row>
    <row r="38" spans="1:17" ht="18" x14ac:dyDescent="0.2">
      <c r="A38" s="269"/>
      <c r="B38" s="140" t="s">
        <v>614</v>
      </c>
      <c r="C38" s="139"/>
      <c r="D38" s="139"/>
      <c r="E38" s="139"/>
      <c r="F38" s="139"/>
      <c r="G38" s="139"/>
      <c r="H38" s="144"/>
      <c r="I38" s="144"/>
      <c r="J38" s="144"/>
      <c r="K38" s="144"/>
      <c r="L38" s="144"/>
      <c r="M38" s="144"/>
      <c r="N38" s="144"/>
      <c r="O38" s="144"/>
      <c r="P38" s="144"/>
      <c r="Q38" s="144"/>
    </row>
    <row r="39" spans="1:17" ht="18" x14ac:dyDescent="0.2">
      <c r="A39" s="270"/>
      <c r="B39" s="140" t="s">
        <v>613</v>
      </c>
      <c r="C39" s="139"/>
      <c r="D39" s="139"/>
      <c r="E39" s="139"/>
      <c r="F39" s="139"/>
      <c r="G39" s="139"/>
      <c r="H39" s="144"/>
      <c r="I39" s="144"/>
      <c r="J39" s="144"/>
      <c r="K39" s="144"/>
      <c r="L39" s="144"/>
      <c r="M39" s="144"/>
      <c r="N39" s="144"/>
      <c r="O39" s="144"/>
      <c r="P39" s="144"/>
      <c r="Q39" s="144"/>
    </row>
    <row r="40" spans="1:17" ht="18" x14ac:dyDescent="0.2">
      <c r="A40" s="260" t="s">
        <v>612</v>
      </c>
      <c r="B40" s="171" t="s">
        <v>611</v>
      </c>
      <c r="C40" s="139"/>
      <c r="D40" s="139"/>
      <c r="E40" s="139"/>
      <c r="F40" s="139"/>
      <c r="G40" s="139"/>
      <c r="H40" s="144"/>
      <c r="I40" s="144"/>
      <c r="J40" s="144"/>
      <c r="K40" s="144"/>
      <c r="L40" s="144"/>
      <c r="M40" s="144"/>
      <c r="N40" s="144"/>
      <c r="O40" s="144"/>
      <c r="P40" s="144"/>
      <c r="Q40" s="144"/>
    </row>
    <row r="41" spans="1:17" ht="18" x14ac:dyDescent="0.2">
      <c r="A41" s="260"/>
      <c r="B41" s="171" t="s">
        <v>610</v>
      </c>
      <c r="C41" s="139"/>
      <c r="D41" s="139"/>
      <c r="E41" s="139"/>
      <c r="F41" s="139"/>
      <c r="G41" s="139"/>
      <c r="H41" s="144"/>
      <c r="I41" s="144"/>
      <c r="J41" s="144"/>
      <c r="K41" s="144"/>
      <c r="L41" s="144"/>
      <c r="M41" s="144"/>
      <c r="N41" s="144"/>
      <c r="O41" s="144"/>
      <c r="P41" s="144"/>
      <c r="Q41" s="144"/>
    </row>
    <row r="42" spans="1:17" ht="18" x14ac:dyDescent="0.2">
      <c r="A42" s="260"/>
      <c r="B42" s="171" t="s">
        <v>609</v>
      </c>
      <c r="C42" s="139"/>
      <c r="D42" s="139"/>
      <c r="E42" s="139"/>
      <c r="F42" s="139"/>
      <c r="G42" s="139"/>
      <c r="H42" s="144"/>
      <c r="I42" s="144"/>
      <c r="J42" s="144"/>
      <c r="K42" s="144"/>
      <c r="L42" s="144"/>
      <c r="M42" s="144"/>
      <c r="N42" s="144"/>
      <c r="O42" s="144"/>
      <c r="P42" s="144"/>
      <c r="Q42" s="144"/>
    </row>
    <row r="43" spans="1:17" ht="18" x14ac:dyDescent="0.2">
      <c r="A43" s="264" t="s">
        <v>608</v>
      </c>
      <c r="B43" s="140" t="s">
        <v>607</v>
      </c>
      <c r="C43" s="139"/>
      <c r="D43" s="139"/>
      <c r="E43" s="139"/>
      <c r="F43" s="139"/>
      <c r="G43" s="139"/>
      <c r="H43" s="144"/>
      <c r="I43" s="144"/>
      <c r="J43" s="144"/>
      <c r="K43" s="144"/>
      <c r="L43" s="144"/>
      <c r="M43" s="144"/>
      <c r="N43" s="144"/>
      <c r="O43" s="144"/>
      <c r="P43" s="144"/>
      <c r="Q43" s="144"/>
    </row>
    <row r="44" spans="1:17" ht="18" x14ac:dyDescent="0.2">
      <c r="A44" s="264"/>
      <c r="B44" s="140" t="s">
        <v>606</v>
      </c>
      <c r="C44" s="139"/>
      <c r="D44" s="139"/>
      <c r="E44" s="139"/>
      <c r="F44" s="139"/>
      <c r="G44" s="139"/>
      <c r="H44" s="144"/>
      <c r="I44" s="144"/>
      <c r="J44" s="144"/>
      <c r="K44" s="144"/>
      <c r="L44" s="144"/>
      <c r="M44" s="144"/>
      <c r="N44" s="144"/>
      <c r="O44" s="144"/>
      <c r="P44" s="144"/>
      <c r="Q44" s="144"/>
    </row>
    <row r="45" spans="1:17" ht="18" x14ac:dyDescent="0.2">
      <c r="A45" s="264"/>
      <c r="B45" s="140" t="s">
        <v>605</v>
      </c>
      <c r="C45" s="139"/>
      <c r="D45" s="139"/>
      <c r="E45" s="139"/>
      <c r="F45" s="139"/>
      <c r="G45" s="139"/>
      <c r="H45" s="144"/>
      <c r="I45" s="144"/>
      <c r="J45" s="144"/>
      <c r="K45" s="144"/>
      <c r="L45" s="144"/>
      <c r="M45" s="144"/>
      <c r="N45" s="144"/>
      <c r="O45" s="144"/>
      <c r="P45" s="144"/>
      <c r="Q45" s="144"/>
    </row>
    <row r="46" spans="1:17" ht="18" x14ac:dyDescent="0.2">
      <c r="A46" s="264"/>
      <c r="B46" s="140" t="s">
        <v>604</v>
      </c>
      <c r="C46" s="139"/>
      <c r="D46" s="139"/>
      <c r="E46" s="139"/>
      <c r="F46" s="139"/>
      <c r="G46" s="139"/>
      <c r="H46" s="144"/>
      <c r="I46" s="144"/>
      <c r="J46" s="144"/>
      <c r="K46" s="144"/>
      <c r="L46" s="144"/>
      <c r="M46" s="144"/>
      <c r="N46" s="144"/>
      <c r="O46" s="144"/>
      <c r="P46" s="144"/>
      <c r="Q46" s="144"/>
    </row>
    <row r="47" spans="1:17" ht="18" x14ac:dyDescent="0.2">
      <c r="A47" s="260" t="s">
        <v>603</v>
      </c>
      <c r="B47" s="171" t="s">
        <v>602</v>
      </c>
      <c r="C47" s="139"/>
      <c r="D47" s="139"/>
      <c r="E47" s="139"/>
      <c r="F47" s="139"/>
      <c r="G47" s="139"/>
      <c r="H47" s="144"/>
      <c r="I47" s="144"/>
      <c r="J47" s="144"/>
      <c r="K47" s="144"/>
      <c r="L47" s="144"/>
      <c r="M47" s="144"/>
      <c r="N47" s="144"/>
      <c r="O47" s="144"/>
      <c r="P47" s="144"/>
      <c r="Q47" s="144"/>
    </row>
    <row r="48" spans="1:17" ht="18" x14ac:dyDescent="0.2">
      <c r="A48" s="260"/>
      <c r="B48" s="171" t="s">
        <v>601</v>
      </c>
      <c r="C48" s="139"/>
      <c r="D48" s="139"/>
      <c r="E48" s="139"/>
      <c r="F48" s="139"/>
      <c r="G48" s="139"/>
      <c r="H48" s="144"/>
      <c r="I48" s="144"/>
      <c r="J48" s="144"/>
      <c r="K48" s="144"/>
      <c r="L48" s="144"/>
      <c r="M48" s="144"/>
      <c r="N48" s="144"/>
      <c r="O48" s="144"/>
      <c r="P48" s="144"/>
      <c r="Q48" s="144"/>
    </row>
    <row r="49" spans="1:17" ht="18" x14ac:dyDescent="0.2">
      <c r="A49" s="264" t="s">
        <v>600</v>
      </c>
      <c r="B49" s="140" t="s">
        <v>599</v>
      </c>
      <c r="C49" s="139"/>
      <c r="D49" s="139"/>
      <c r="E49" s="139"/>
      <c r="F49" s="139"/>
      <c r="G49" s="139"/>
      <c r="H49" s="144"/>
      <c r="I49" s="144"/>
      <c r="J49" s="144"/>
      <c r="K49" s="144"/>
      <c r="L49" s="144"/>
      <c r="M49" s="144"/>
      <c r="N49" s="144"/>
      <c r="O49" s="144"/>
      <c r="P49" s="144"/>
      <c r="Q49" s="144"/>
    </row>
    <row r="50" spans="1:17" ht="18" x14ac:dyDescent="0.2">
      <c r="A50" s="264"/>
      <c r="B50" s="140" t="s">
        <v>598</v>
      </c>
      <c r="C50" s="139"/>
      <c r="D50" s="139"/>
      <c r="E50" s="139"/>
      <c r="F50" s="139"/>
      <c r="G50" s="139"/>
      <c r="H50" s="144"/>
      <c r="I50" s="144"/>
      <c r="J50" s="144"/>
      <c r="K50" s="144"/>
      <c r="L50" s="144"/>
      <c r="M50" s="144"/>
      <c r="N50" s="144"/>
      <c r="O50" s="144"/>
      <c r="P50" s="144"/>
      <c r="Q50" s="144"/>
    </row>
    <row r="51" spans="1:17" ht="18" x14ac:dyDescent="0.2">
      <c r="A51" s="264"/>
      <c r="B51" s="140" t="s">
        <v>597</v>
      </c>
      <c r="C51" s="139"/>
      <c r="D51" s="139"/>
      <c r="E51" s="139"/>
      <c r="F51" s="139"/>
      <c r="G51" s="139"/>
      <c r="H51" s="144"/>
      <c r="I51" s="144"/>
      <c r="J51" s="144"/>
      <c r="K51" s="144"/>
      <c r="L51" s="144"/>
      <c r="M51" s="144"/>
      <c r="N51" s="144"/>
      <c r="O51" s="144"/>
      <c r="P51" s="144"/>
      <c r="Q51" s="144"/>
    </row>
    <row r="52" spans="1:17" ht="18" x14ac:dyDescent="0.2">
      <c r="A52" s="264"/>
      <c r="B52" s="140" t="s">
        <v>596</v>
      </c>
      <c r="C52" s="139"/>
      <c r="D52" s="139"/>
      <c r="E52" s="139"/>
      <c r="F52" s="139"/>
      <c r="G52" s="139"/>
      <c r="H52" s="144"/>
      <c r="I52" s="144"/>
      <c r="J52" s="144"/>
      <c r="K52" s="144"/>
      <c r="L52" s="144"/>
      <c r="M52" s="144"/>
      <c r="N52" s="144"/>
      <c r="O52" s="144"/>
      <c r="P52" s="144"/>
      <c r="Q52" s="144"/>
    </row>
    <row r="53" spans="1:17" ht="24.75" customHeight="1" x14ac:dyDescent="0.2">
      <c r="A53" s="265" t="s">
        <v>595</v>
      </c>
      <c r="B53" s="266"/>
      <c r="C53" s="182"/>
      <c r="D53" s="182"/>
      <c r="E53" s="182"/>
      <c r="F53" s="182"/>
      <c r="G53" s="182"/>
      <c r="H53" s="145">
        <f t="shared" ref="H53:Q53" si="0">SUM(H2:H52)</f>
        <v>0</v>
      </c>
      <c r="I53" s="145">
        <f t="shared" si="0"/>
        <v>0</v>
      </c>
      <c r="J53" s="145">
        <f t="shared" si="0"/>
        <v>0</v>
      </c>
      <c r="K53" s="145">
        <f t="shared" si="0"/>
        <v>0</v>
      </c>
      <c r="L53" s="145">
        <f t="shared" si="0"/>
        <v>0</v>
      </c>
      <c r="M53" s="145">
        <f t="shared" si="0"/>
        <v>0</v>
      </c>
      <c r="N53" s="145">
        <f t="shared" si="0"/>
        <v>0</v>
      </c>
      <c r="O53" s="145">
        <f t="shared" si="0"/>
        <v>0</v>
      </c>
      <c r="P53" s="145">
        <f t="shared" si="0"/>
        <v>0</v>
      </c>
      <c r="Q53" s="145">
        <f t="shared" si="0"/>
        <v>0</v>
      </c>
    </row>
    <row r="54" spans="1:17" ht="18" x14ac:dyDescent="0.2">
      <c r="A54" s="267"/>
      <c r="B54" s="267"/>
      <c r="C54" s="139"/>
      <c r="D54" s="139"/>
      <c r="E54" s="139"/>
      <c r="F54" s="139"/>
      <c r="G54" s="139"/>
    </row>
  </sheetData>
  <mergeCells count="17">
    <mergeCell ref="A47:A48"/>
    <mergeCell ref="A49:A52"/>
    <mergeCell ref="A53:B53"/>
    <mergeCell ref="A54:B54"/>
    <mergeCell ref="A20:A24"/>
    <mergeCell ref="A25:A27"/>
    <mergeCell ref="A30:A36"/>
    <mergeCell ref="A37:A39"/>
    <mergeCell ref="A40:A42"/>
    <mergeCell ref="A43:A46"/>
    <mergeCell ref="A28:A29"/>
    <mergeCell ref="A16:A19"/>
    <mergeCell ref="A1:G1"/>
    <mergeCell ref="A2:A5"/>
    <mergeCell ref="A6:A9"/>
    <mergeCell ref="A10:A11"/>
    <mergeCell ref="A12:A15"/>
  </mergeCells>
  <pageMargins left="0.78740157499999996" right="0.78740157499999996" top="0.984251969" bottom="0.984251969" header="0.49212598499999999" footer="0.49212598499999999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O143"/>
  <sheetViews>
    <sheetView topLeftCell="A37" workbookViewId="0">
      <selection activeCell="F40" sqref="F40"/>
    </sheetView>
  </sheetViews>
  <sheetFormatPr baseColWidth="10" defaultColWidth="8.83203125" defaultRowHeight="13" x14ac:dyDescent="0.15"/>
  <cols>
    <col min="1" max="1" width="45.5" style="133" customWidth="1"/>
    <col min="2" max="2" width="32.5" style="133" customWidth="1"/>
    <col min="3" max="3" width="10.6640625" style="133" customWidth="1"/>
    <col min="4" max="4" width="10.33203125" style="133" customWidth="1"/>
    <col min="5" max="5" width="9.6640625" style="133" customWidth="1"/>
    <col min="6" max="6" width="10.1640625" style="133" customWidth="1"/>
    <col min="7" max="9" width="9.83203125" style="133" customWidth="1"/>
    <col min="10" max="10" width="10.1640625" style="133" customWidth="1"/>
    <col min="11" max="11" width="10" style="133" customWidth="1"/>
    <col min="12" max="12" width="9.33203125" style="133" customWidth="1"/>
    <col min="13" max="13" width="10" style="133" customWidth="1"/>
    <col min="14" max="15" width="10.33203125" style="133" customWidth="1"/>
    <col min="16" max="16384" width="8.83203125" style="133"/>
  </cols>
  <sheetData>
    <row r="1" spans="1:15" ht="72" customHeight="1" x14ac:dyDescent="0.15">
      <c r="A1" s="273" t="s">
        <v>440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</row>
    <row r="2" spans="1:15" s="134" customFormat="1" ht="25.5" customHeight="1" x14ac:dyDescent="0.2">
      <c r="A2" s="184" t="s">
        <v>441</v>
      </c>
      <c r="B2" s="184" t="s">
        <v>442</v>
      </c>
      <c r="C2" s="186" t="s">
        <v>443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</row>
    <row r="3" spans="1:15" ht="224" customHeight="1" x14ac:dyDescent="0.2">
      <c r="A3" s="234" t="s">
        <v>444</v>
      </c>
      <c r="B3" s="178" t="s">
        <v>788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</row>
    <row r="4" spans="1:15" ht="122" customHeight="1" x14ac:dyDescent="0.2">
      <c r="A4" s="173" t="s">
        <v>407</v>
      </c>
      <c r="B4" s="178" t="s">
        <v>789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</row>
    <row r="5" spans="1:15" ht="175" customHeight="1" x14ac:dyDescent="0.2">
      <c r="A5" s="173" t="s">
        <v>408</v>
      </c>
      <c r="B5" s="178" t="s">
        <v>790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</row>
    <row r="6" spans="1:15" ht="192" customHeight="1" x14ac:dyDescent="0.2">
      <c r="A6" s="173" t="s">
        <v>445</v>
      </c>
      <c r="B6" s="178" t="s">
        <v>791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</row>
    <row r="7" spans="1:15" ht="85" customHeight="1" x14ac:dyDescent="0.2">
      <c r="A7" s="173" t="s">
        <v>446</v>
      </c>
      <c r="B7" s="178" t="s">
        <v>792</v>
      </c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</row>
    <row r="8" spans="1:15" ht="92" customHeight="1" x14ac:dyDescent="0.2">
      <c r="A8" s="173" t="s">
        <v>447</v>
      </c>
      <c r="B8" s="178" t="s">
        <v>793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</row>
    <row r="9" spans="1:15" ht="175" customHeight="1" x14ac:dyDescent="0.2">
      <c r="A9" s="173" t="s">
        <v>448</v>
      </c>
      <c r="B9" s="236" t="s">
        <v>794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</row>
    <row r="10" spans="1:15" ht="161" customHeight="1" x14ac:dyDescent="0.2">
      <c r="A10" s="173" t="s">
        <v>449</v>
      </c>
      <c r="B10" s="178" t="s">
        <v>795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</row>
    <row r="11" spans="1:15" ht="132" customHeight="1" x14ac:dyDescent="0.2">
      <c r="A11" s="173" t="s">
        <v>450</v>
      </c>
      <c r="B11" s="178" t="s">
        <v>799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</row>
    <row r="12" spans="1:15" ht="147" customHeight="1" x14ac:dyDescent="0.2">
      <c r="A12" s="173" t="s">
        <v>451</v>
      </c>
      <c r="B12" s="178" t="s">
        <v>798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</row>
    <row r="13" spans="1:15" ht="205" customHeight="1" x14ac:dyDescent="0.15">
      <c r="A13" s="173" t="s">
        <v>452</v>
      </c>
      <c r="B13" s="178" t="s">
        <v>796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</row>
    <row r="14" spans="1:15" ht="18" x14ac:dyDescent="0.2">
      <c r="A14" s="171" t="s">
        <v>453</v>
      </c>
      <c r="B14" s="171" t="s">
        <v>454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</row>
    <row r="15" spans="1:15" ht="32" customHeight="1" x14ac:dyDescent="0.2">
      <c r="A15" s="173" t="s">
        <v>455</v>
      </c>
      <c r="B15" s="235" t="s">
        <v>797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</row>
    <row r="16" spans="1:15" ht="132" customHeight="1" x14ac:dyDescent="0.2">
      <c r="A16" s="173" t="s">
        <v>405</v>
      </c>
      <c r="B16" s="178" t="s">
        <v>800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</row>
    <row r="17" spans="1:15" ht="18" x14ac:dyDescent="0.2">
      <c r="A17" s="171" t="s">
        <v>456</v>
      </c>
      <c r="B17" s="171" t="s">
        <v>457</v>
      </c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</row>
    <row r="18" spans="1:15" ht="63" customHeight="1" x14ac:dyDescent="0.2">
      <c r="A18" s="173" t="s">
        <v>458</v>
      </c>
      <c r="B18" s="178" t="s">
        <v>774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</row>
    <row r="19" spans="1:15" ht="95" customHeight="1" x14ac:dyDescent="0.15">
      <c r="A19" s="173" t="s">
        <v>459</v>
      </c>
      <c r="B19" s="178" t="s">
        <v>801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</row>
    <row r="20" spans="1:15" ht="18" x14ac:dyDescent="0.2">
      <c r="A20" s="171" t="s">
        <v>460</v>
      </c>
      <c r="B20" s="171" t="s">
        <v>461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</row>
    <row r="21" spans="1:15" ht="50" customHeight="1" x14ac:dyDescent="0.2">
      <c r="A21" s="173" t="s">
        <v>778</v>
      </c>
      <c r="B21" s="178" t="s">
        <v>775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</row>
    <row r="22" spans="1:15" ht="209" customHeight="1" x14ac:dyDescent="0.2">
      <c r="A22" s="173" t="s">
        <v>773</v>
      </c>
      <c r="B22" s="178" t="s">
        <v>779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</row>
    <row r="23" spans="1:15" ht="53" customHeight="1" x14ac:dyDescent="0.2">
      <c r="A23" s="173" t="s">
        <v>462</v>
      </c>
      <c r="B23" s="178" t="s">
        <v>732</v>
      </c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</row>
    <row r="24" spans="1:15" ht="18" x14ac:dyDescent="0.2">
      <c r="A24" s="171" t="s">
        <v>463</v>
      </c>
      <c r="B24" s="171" t="s">
        <v>464</v>
      </c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</row>
    <row r="25" spans="1:15" ht="18" x14ac:dyDescent="0.2">
      <c r="A25" s="171" t="s">
        <v>465</v>
      </c>
      <c r="B25" s="171" t="s">
        <v>466</v>
      </c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</row>
    <row r="26" spans="1:15" ht="18" x14ac:dyDescent="0.2">
      <c r="A26" s="171" t="s">
        <v>467</v>
      </c>
      <c r="B26" s="171" t="s">
        <v>468</v>
      </c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</row>
    <row r="27" spans="1:15" ht="18" x14ac:dyDescent="0.2">
      <c r="A27" s="171" t="s">
        <v>469</v>
      </c>
      <c r="B27" s="171" t="s">
        <v>470</v>
      </c>
      <c r="C27" s="135" t="e">
        <f>C23/C24</f>
        <v>#DIV/0!</v>
      </c>
      <c r="D27" s="135" t="e">
        <f t="shared" ref="D27:O27" si="0">D23/D24</f>
        <v>#DIV/0!</v>
      </c>
      <c r="E27" s="135" t="e">
        <f t="shared" si="0"/>
        <v>#DIV/0!</v>
      </c>
      <c r="F27" s="135" t="e">
        <f t="shared" si="0"/>
        <v>#DIV/0!</v>
      </c>
      <c r="G27" s="135" t="e">
        <f t="shared" si="0"/>
        <v>#DIV/0!</v>
      </c>
      <c r="H27" s="135" t="e">
        <f t="shared" si="0"/>
        <v>#DIV/0!</v>
      </c>
      <c r="I27" s="135" t="e">
        <f t="shared" si="0"/>
        <v>#DIV/0!</v>
      </c>
      <c r="J27" s="135" t="e">
        <f t="shared" si="0"/>
        <v>#DIV/0!</v>
      </c>
      <c r="K27" s="135" t="e">
        <f t="shared" si="0"/>
        <v>#DIV/0!</v>
      </c>
      <c r="L27" s="135" t="e">
        <f t="shared" si="0"/>
        <v>#DIV/0!</v>
      </c>
      <c r="M27" s="135" t="e">
        <f t="shared" si="0"/>
        <v>#DIV/0!</v>
      </c>
      <c r="N27" s="135" t="e">
        <f t="shared" si="0"/>
        <v>#DIV/0!</v>
      </c>
      <c r="O27" s="135" t="e">
        <f t="shared" si="0"/>
        <v>#DIV/0!</v>
      </c>
    </row>
    <row r="28" spans="1:15" ht="18" x14ac:dyDescent="0.2">
      <c r="A28" s="171" t="s">
        <v>471</v>
      </c>
      <c r="B28" s="171" t="s">
        <v>472</v>
      </c>
      <c r="C28" s="135" t="e">
        <f>C26/C24</f>
        <v>#DIV/0!</v>
      </c>
      <c r="D28" s="135" t="e">
        <f t="shared" ref="D28:O28" si="1">D26/D24</f>
        <v>#DIV/0!</v>
      </c>
      <c r="E28" s="135" t="e">
        <f t="shared" si="1"/>
        <v>#DIV/0!</v>
      </c>
      <c r="F28" s="135" t="e">
        <f t="shared" si="1"/>
        <v>#DIV/0!</v>
      </c>
      <c r="G28" s="135" t="e">
        <f t="shared" si="1"/>
        <v>#DIV/0!</v>
      </c>
      <c r="H28" s="135" t="e">
        <f t="shared" si="1"/>
        <v>#DIV/0!</v>
      </c>
      <c r="I28" s="135" t="e">
        <f t="shared" si="1"/>
        <v>#DIV/0!</v>
      </c>
      <c r="J28" s="135" t="e">
        <f t="shared" si="1"/>
        <v>#DIV/0!</v>
      </c>
      <c r="K28" s="135" t="e">
        <f t="shared" si="1"/>
        <v>#DIV/0!</v>
      </c>
      <c r="L28" s="135" t="e">
        <f t="shared" si="1"/>
        <v>#DIV/0!</v>
      </c>
      <c r="M28" s="135" t="e">
        <f t="shared" si="1"/>
        <v>#DIV/0!</v>
      </c>
      <c r="N28" s="135" t="e">
        <f t="shared" si="1"/>
        <v>#DIV/0!</v>
      </c>
      <c r="O28" s="135" t="e">
        <f t="shared" si="1"/>
        <v>#DIV/0!</v>
      </c>
    </row>
    <row r="29" spans="1:15" ht="39" customHeight="1" x14ac:dyDescent="0.2">
      <c r="A29" s="173" t="s">
        <v>473</v>
      </c>
      <c r="B29" s="178" t="s">
        <v>739</v>
      </c>
      <c r="C29" s="137" t="e">
        <f>C25/C24</f>
        <v>#DIV/0!</v>
      </c>
      <c r="D29" s="135" t="e">
        <f t="shared" ref="D29:O29" si="2">D25/D24</f>
        <v>#DIV/0!</v>
      </c>
      <c r="E29" s="135" t="e">
        <f t="shared" si="2"/>
        <v>#DIV/0!</v>
      </c>
      <c r="F29" s="135" t="e">
        <f t="shared" si="2"/>
        <v>#DIV/0!</v>
      </c>
      <c r="G29" s="135" t="e">
        <f t="shared" si="2"/>
        <v>#DIV/0!</v>
      </c>
      <c r="H29" s="135" t="e">
        <f t="shared" si="2"/>
        <v>#DIV/0!</v>
      </c>
      <c r="I29" s="135" t="e">
        <f t="shared" si="2"/>
        <v>#DIV/0!</v>
      </c>
      <c r="J29" s="135" t="e">
        <f t="shared" si="2"/>
        <v>#DIV/0!</v>
      </c>
      <c r="K29" s="135" t="e">
        <f t="shared" si="2"/>
        <v>#DIV/0!</v>
      </c>
      <c r="L29" s="135" t="e">
        <f t="shared" si="2"/>
        <v>#DIV/0!</v>
      </c>
      <c r="M29" s="135" t="e">
        <f t="shared" si="2"/>
        <v>#DIV/0!</v>
      </c>
      <c r="N29" s="135" t="e">
        <f t="shared" si="2"/>
        <v>#DIV/0!</v>
      </c>
      <c r="O29" s="135" t="e">
        <f t="shared" si="2"/>
        <v>#DIV/0!</v>
      </c>
    </row>
    <row r="30" spans="1:15" ht="18" x14ac:dyDescent="0.2">
      <c r="A30" s="171" t="s">
        <v>474</v>
      </c>
      <c r="B30" s="171" t="s">
        <v>475</v>
      </c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</row>
    <row r="31" spans="1:15" ht="18" x14ac:dyDescent="0.2">
      <c r="A31" s="171" t="s">
        <v>476</v>
      </c>
      <c r="B31" s="171" t="s">
        <v>475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</row>
    <row r="32" spans="1:15" ht="78" customHeight="1" x14ac:dyDescent="0.2">
      <c r="A32" s="173" t="s">
        <v>776</v>
      </c>
      <c r="B32" s="178" t="s">
        <v>782</v>
      </c>
      <c r="C32" s="137" t="e">
        <f>C30/C31</f>
        <v>#DIV/0!</v>
      </c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</row>
    <row r="33" spans="1:15" ht="18" x14ac:dyDescent="0.2">
      <c r="A33" s="171" t="s">
        <v>477</v>
      </c>
      <c r="B33" s="171" t="s">
        <v>478</v>
      </c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</row>
    <row r="34" spans="1:15" ht="18" x14ac:dyDescent="0.2">
      <c r="A34" s="171" t="s">
        <v>479</v>
      </c>
      <c r="B34" s="171" t="s">
        <v>480</v>
      </c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</row>
    <row r="35" spans="1:15" ht="18" x14ac:dyDescent="0.2">
      <c r="A35" s="171" t="s">
        <v>481</v>
      </c>
      <c r="B35" s="171" t="s">
        <v>482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</row>
    <row r="36" spans="1:15" ht="18" x14ac:dyDescent="0.2">
      <c r="A36" s="171" t="s">
        <v>483</v>
      </c>
      <c r="B36" s="171" t="s">
        <v>484</v>
      </c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</row>
    <row r="37" spans="1:15" ht="60" customHeight="1" x14ac:dyDescent="0.15">
      <c r="A37" s="173" t="s">
        <v>485</v>
      </c>
      <c r="B37" s="178" t="s">
        <v>486</v>
      </c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</row>
    <row r="38" spans="1:15" ht="89" customHeight="1" x14ac:dyDescent="0.2">
      <c r="A38" s="173" t="s">
        <v>487</v>
      </c>
      <c r="B38" s="178" t="s">
        <v>735</v>
      </c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</row>
    <row r="39" spans="1:15" ht="18" x14ac:dyDescent="0.2">
      <c r="A39" s="171" t="s">
        <v>488</v>
      </c>
      <c r="B39" s="171" t="s">
        <v>489</v>
      </c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</row>
    <row r="40" spans="1:15" ht="374" customHeight="1" x14ac:dyDescent="0.15">
      <c r="A40" s="173" t="s">
        <v>780</v>
      </c>
      <c r="B40" s="178" t="s">
        <v>831</v>
      </c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</row>
    <row r="41" spans="1:15" ht="29" customHeight="1" x14ac:dyDescent="0.2">
      <c r="A41" s="173" t="s">
        <v>490</v>
      </c>
      <c r="B41" s="173" t="s">
        <v>815</v>
      </c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</row>
    <row r="42" spans="1:15" ht="99" customHeight="1" x14ac:dyDescent="0.2">
      <c r="A42" s="173" t="s">
        <v>491</v>
      </c>
      <c r="B42" s="178" t="s">
        <v>813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</row>
    <row r="43" spans="1:15" ht="145" customHeight="1" x14ac:dyDescent="0.2">
      <c r="A43" s="173" t="s">
        <v>770</v>
      </c>
      <c r="B43" s="178" t="s">
        <v>814</v>
      </c>
      <c r="C43" s="137" t="e">
        <f>C42/C41</f>
        <v>#DIV/0!</v>
      </c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</row>
    <row r="44" spans="1:15" ht="91" customHeight="1" x14ac:dyDescent="0.2">
      <c r="A44" s="173" t="s">
        <v>816</v>
      </c>
      <c r="B44" s="178" t="s">
        <v>822</v>
      </c>
      <c r="C44" s="137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</row>
    <row r="45" spans="1:15" ht="169" customHeight="1" x14ac:dyDescent="0.2">
      <c r="A45" s="173" t="s">
        <v>492</v>
      </c>
      <c r="B45" s="178" t="s">
        <v>821</v>
      </c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</row>
    <row r="46" spans="1:15" ht="138" customHeight="1" x14ac:dyDescent="0.2">
      <c r="A46" s="173" t="s">
        <v>817</v>
      </c>
      <c r="B46" s="178" t="s">
        <v>820</v>
      </c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</row>
    <row r="47" spans="1:15" ht="109" customHeight="1" x14ac:dyDescent="0.2">
      <c r="A47" s="173" t="s">
        <v>818</v>
      </c>
      <c r="B47" s="178" t="s">
        <v>819</v>
      </c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</row>
    <row r="48" spans="1:15" ht="87" customHeight="1" x14ac:dyDescent="0.2">
      <c r="A48" s="173" t="s">
        <v>829</v>
      </c>
      <c r="B48" s="178" t="s">
        <v>830</v>
      </c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</row>
    <row r="49" spans="1:15" ht="18" x14ac:dyDescent="0.2">
      <c r="A49" s="173" t="s">
        <v>493</v>
      </c>
      <c r="B49" s="239" t="s">
        <v>494</v>
      </c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</row>
    <row r="50" spans="1:15" ht="171" x14ac:dyDescent="0.15">
      <c r="A50" s="173" t="s">
        <v>495</v>
      </c>
      <c r="B50" s="178" t="s">
        <v>823</v>
      </c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</row>
    <row r="51" spans="1:15" ht="76" x14ac:dyDescent="0.15">
      <c r="A51" s="173" t="s">
        <v>733</v>
      </c>
      <c r="B51" s="178" t="s">
        <v>734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</row>
    <row r="52" spans="1:15" ht="95" x14ac:dyDescent="0.2">
      <c r="A52" s="173" t="s">
        <v>496</v>
      </c>
      <c r="B52" s="178" t="s">
        <v>785</v>
      </c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</row>
    <row r="53" spans="1:15" ht="54" customHeight="1" x14ac:dyDescent="0.2">
      <c r="A53" s="171" t="s">
        <v>497</v>
      </c>
      <c r="B53" s="171" t="s">
        <v>498</v>
      </c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</row>
    <row r="54" spans="1:15" ht="29" customHeight="1" x14ac:dyDescent="0.2">
      <c r="A54" s="173" t="s">
        <v>499</v>
      </c>
      <c r="B54" s="178" t="s">
        <v>828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</row>
    <row r="55" spans="1:15" ht="105" customHeight="1" x14ac:dyDescent="0.2">
      <c r="A55" s="173" t="s">
        <v>500</v>
      </c>
      <c r="B55" s="173" t="s">
        <v>501</v>
      </c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</row>
    <row r="56" spans="1:15" ht="76" x14ac:dyDescent="0.2">
      <c r="A56" s="173" t="s">
        <v>502</v>
      </c>
      <c r="B56" s="234" t="s">
        <v>827</v>
      </c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</row>
    <row r="57" spans="1:15" ht="82" customHeight="1" x14ac:dyDescent="0.2">
      <c r="A57" s="173" t="s">
        <v>737</v>
      </c>
      <c r="B57" s="178" t="s">
        <v>738</v>
      </c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</row>
    <row r="58" spans="1:15" ht="84" customHeight="1" x14ac:dyDescent="0.2">
      <c r="A58" s="173" t="s">
        <v>824</v>
      </c>
      <c r="B58" s="227" t="s">
        <v>826</v>
      </c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</row>
    <row r="59" spans="1:15" ht="76" x14ac:dyDescent="0.2">
      <c r="A59" s="239" t="s">
        <v>503</v>
      </c>
      <c r="B59" s="178" t="s">
        <v>825</v>
      </c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</row>
    <row r="60" spans="1:15" ht="50.25" customHeight="1" x14ac:dyDescent="0.15">
      <c r="A60" s="173" t="s">
        <v>406</v>
      </c>
      <c r="B60" s="178" t="s">
        <v>777</v>
      </c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</row>
    <row r="61" spans="1:15" ht="18" x14ac:dyDescent="0.2">
      <c r="A61" s="171" t="s">
        <v>504</v>
      </c>
      <c r="B61" s="171" t="s">
        <v>505</v>
      </c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</row>
    <row r="62" spans="1:15" ht="18" x14ac:dyDescent="0.2">
      <c r="A62" s="171" t="s">
        <v>506</v>
      </c>
      <c r="B62" s="171" t="s">
        <v>507</v>
      </c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</row>
    <row r="63" spans="1:15" ht="18" x14ac:dyDescent="0.2">
      <c r="A63" s="171" t="s">
        <v>508</v>
      </c>
      <c r="B63" s="171" t="s">
        <v>509</v>
      </c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</row>
    <row r="64" spans="1:15" ht="18" x14ac:dyDescent="0.2">
      <c r="A64" s="171" t="s">
        <v>510</v>
      </c>
      <c r="B64" s="171" t="s">
        <v>511</v>
      </c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</row>
    <row r="65" spans="1:15" ht="18" x14ac:dyDescent="0.2">
      <c r="A65" s="173" t="s">
        <v>736</v>
      </c>
      <c r="B65" s="173" t="s">
        <v>512</v>
      </c>
      <c r="C65" s="138"/>
      <c r="D65" s="138"/>
      <c r="E65" s="138"/>
      <c r="F65" s="138"/>
      <c r="G65" s="138"/>
      <c r="H65" s="135"/>
      <c r="I65" s="135"/>
      <c r="J65" s="135"/>
      <c r="K65" s="135"/>
      <c r="L65" s="135"/>
      <c r="M65" s="135"/>
      <c r="N65" s="135"/>
      <c r="O65" s="135"/>
    </row>
    <row r="66" spans="1:15" ht="264" customHeight="1" x14ac:dyDescent="0.2">
      <c r="A66" s="171" t="s">
        <v>513</v>
      </c>
      <c r="B66" s="171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</row>
    <row r="67" spans="1:15" ht="18" x14ac:dyDescent="0.2">
      <c r="A67" s="171" t="s">
        <v>514</v>
      </c>
      <c r="B67" s="171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</row>
    <row r="68" spans="1:15" ht="18" x14ac:dyDescent="0.2">
      <c r="A68" s="171" t="s">
        <v>515</v>
      </c>
      <c r="B68" s="171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</row>
    <row r="69" spans="1:15" ht="18" x14ac:dyDescent="0.2">
      <c r="A69" s="171" t="s">
        <v>516</v>
      </c>
      <c r="B69" s="171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</row>
    <row r="70" spans="1:15" ht="88" customHeight="1" x14ac:dyDescent="0.2">
      <c r="A70" s="171" t="s">
        <v>517</v>
      </c>
      <c r="B70" s="171" t="s">
        <v>518</v>
      </c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</row>
    <row r="71" spans="1:15" ht="74" customHeight="1" x14ac:dyDescent="0.2">
      <c r="A71" s="173" t="s">
        <v>519</v>
      </c>
      <c r="B71" s="178" t="s">
        <v>769</v>
      </c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</row>
    <row r="72" spans="1:15" ht="152" customHeight="1" x14ac:dyDescent="0.2">
      <c r="A72" s="171" t="s">
        <v>520</v>
      </c>
      <c r="B72" s="171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</row>
    <row r="73" spans="1:15" ht="18" x14ac:dyDescent="0.2">
      <c r="A73" s="171" t="s">
        <v>521</v>
      </c>
      <c r="B73" s="171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</row>
    <row r="74" spans="1:15" ht="18" x14ac:dyDescent="0.2">
      <c r="A74" s="171" t="s">
        <v>522</v>
      </c>
      <c r="B74" s="171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</row>
    <row r="75" spans="1:15" ht="238" customHeight="1" x14ac:dyDescent="0.2">
      <c r="A75" s="173" t="s">
        <v>523</v>
      </c>
      <c r="B75" s="185" t="s">
        <v>753</v>
      </c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</row>
    <row r="76" spans="1:15" ht="95" customHeight="1" x14ac:dyDescent="0.2">
      <c r="A76" s="173" t="s">
        <v>524</v>
      </c>
      <c r="B76" s="178" t="s">
        <v>752</v>
      </c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</row>
    <row r="77" spans="1:15" ht="152" x14ac:dyDescent="0.2">
      <c r="A77" s="173" t="s">
        <v>525</v>
      </c>
      <c r="B77" s="178" t="s">
        <v>784</v>
      </c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</row>
    <row r="78" spans="1:15" ht="18" x14ac:dyDescent="0.2">
      <c r="A78" s="171" t="s">
        <v>526</v>
      </c>
      <c r="B78" s="171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</row>
    <row r="79" spans="1:15" ht="18" x14ac:dyDescent="0.2">
      <c r="A79" s="171" t="s">
        <v>527</v>
      </c>
      <c r="B79" s="171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</row>
    <row r="80" spans="1:15" ht="247" x14ac:dyDescent="0.2">
      <c r="A80" s="173" t="s">
        <v>528</v>
      </c>
      <c r="B80" s="178" t="s">
        <v>756</v>
      </c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</row>
    <row r="81" spans="1:15" ht="95" x14ac:dyDescent="0.15">
      <c r="A81" s="173" t="s">
        <v>529</v>
      </c>
      <c r="B81" s="178" t="s">
        <v>530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</row>
    <row r="82" spans="1:15" ht="18" x14ac:dyDescent="0.2">
      <c r="A82" s="171" t="s">
        <v>531</v>
      </c>
      <c r="B82" s="171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</row>
    <row r="83" spans="1:15" ht="18" x14ac:dyDescent="0.2">
      <c r="A83" s="171" t="s">
        <v>532</v>
      </c>
      <c r="B83" s="171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</row>
    <row r="84" spans="1:15" ht="18" x14ac:dyDescent="0.2">
      <c r="A84" s="171" t="s">
        <v>533</v>
      </c>
      <c r="B84" s="171" t="s">
        <v>534</v>
      </c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</row>
    <row r="85" spans="1:15" ht="18" x14ac:dyDescent="0.2">
      <c r="A85" s="171" t="s">
        <v>535</v>
      </c>
      <c r="B85" s="171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</row>
    <row r="86" spans="1:15" ht="18" x14ac:dyDescent="0.2">
      <c r="A86" s="171" t="s">
        <v>536</v>
      </c>
      <c r="B86" s="171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</row>
    <row r="87" spans="1:15" ht="18" x14ac:dyDescent="0.2">
      <c r="A87" s="171" t="s">
        <v>537</v>
      </c>
      <c r="B87" s="171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</row>
    <row r="88" spans="1:15" ht="49" customHeight="1" x14ac:dyDescent="0.2">
      <c r="A88" s="171" t="s">
        <v>538</v>
      </c>
      <c r="B88" s="171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</row>
    <row r="89" spans="1:15" ht="18" x14ac:dyDescent="0.2">
      <c r="A89" s="171" t="s">
        <v>539</v>
      </c>
      <c r="B89" s="171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</row>
    <row r="90" spans="1:15" ht="18" x14ac:dyDescent="0.2">
      <c r="A90" s="171" t="s">
        <v>540</v>
      </c>
      <c r="B90" s="171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</row>
    <row r="91" spans="1:15" ht="18" x14ac:dyDescent="0.2">
      <c r="A91" s="171" t="s">
        <v>541</v>
      </c>
      <c r="B91" s="171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</row>
    <row r="92" spans="1:15" ht="73" customHeight="1" x14ac:dyDescent="0.2">
      <c r="A92" s="171" t="s">
        <v>542</v>
      </c>
      <c r="B92" s="171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</row>
    <row r="93" spans="1:15" ht="38" x14ac:dyDescent="0.2">
      <c r="A93" s="171" t="s">
        <v>543</v>
      </c>
      <c r="B93" s="178" t="s">
        <v>757</v>
      </c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</row>
    <row r="94" spans="1:15" ht="18" x14ac:dyDescent="0.2">
      <c r="A94" s="171" t="s">
        <v>544</v>
      </c>
      <c r="B94" s="171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</row>
    <row r="95" spans="1:15" ht="18" x14ac:dyDescent="0.2">
      <c r="A95" s="171" t="s">
        <v>545</v>
      </c>
      <c r="B95" s="171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</row>
    <row r="96" spans="1:15" ht="18" x14ac:dyDescent="0.2">
      <c r="A96" s="171" t="s">
        <v>546</v>
      </c>
      <c r="B96" s="171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</row>
    <row r="97" spans="1:15" ht="76" x14ac:dyDescent="0.2">
      <c r="A97" s="175" t="s">
        <v>754</v>
      </c>
      <c r="B97" s="231" t="s">
        <v>755</v>
      </c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</row>
    <row r="98" spans="1:15" ht="18" x14ac:dyDescent="0.2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</row>
    <row r="99" spans="1:15" ht="133" customHeight="1" x14ac:dyDescent="0.2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</row>
    <row r="100" spans="1:15" ht="18" x14ac:dyDescent="0.2">
      <c r="A100" s="275" t="s">
        <v>767</v>
      </c>
      <c r="B100" s="276"/>
      <c r="C100" s="276"/>
      <c r="D100" s="276"/>
      <c r="E100" s="276"/>
      <c r="F100" s="276"/>
      <c r="G100" s="277"/>
      <c r="H100" s="135"/>
      <c r="I100" s="135"/>
      <c r="J100" s="135"/>
      <c r="K100" s="135"/>
      <c r="L100" s="135"/>
      <c r="M100" s="135"/>
      <c r="N100" s="135"/>
      <c r="O100" s="135"/>
    </row>
    <row r="101" spans="1:15" ht="18" x14ac:dyDescent="0.2">
      <c r="A101" s="278" t="s">
        <v>768</v>
      </c>
      <c r="B101" s="279"/>
      <c r="C101" s="279"/>
      <c r="D101" s="279"/>
      <c r="E101" s="279"/>
      <c r="F101" s="279"/>
      <c r="G101" s="280"/>
      <c r="H101" s="135"/>
      <c r="I101" s="135"/>
      <c r="J101" s="135"/>
      <c r="K101" s="135"/>
      <c r="L101" s="135"/>
      <c r="M101" s="135"/>
      <c r="N101" s="135"/>
      <c r="O101" s="135"/>
    </row>
    <row r="102" spans="1:15" ht="18" x14ac:dyDescent="0.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</row>
    <row r="103" spans="1:15" ht="18" x14ac:dyDescent="0.2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</row>
    <row r="104" spans="1:15" ht="133" x14ac:dyDescent="0.2">
      <c r="A104" s="232" t="s">
        <v>772</v>
      </c>
      <c r="B104" s="233" t="s">
        <v>771</v>
      </c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</row>
    <row r="105" spans="1:15" ht="18" x14ac:dyDescent="0.2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</row>
    <row r="106" spans="1:15" ht="18" x14ac:dyDescent="0.2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</row>
    <row r="107" spans="1:15" ht="18" x14ac:dyDescent="0.2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</row>
    <row r="108" spans="1:15" ht="18" x14ac:dyDescent="0.2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</row>
    <row r="109" spans="1:15" ht="18" x14ac:dyDescent="0.2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</row>
    <row r="110" spans="1:15" ht="18" x14ac:dyDescent="0.2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</row>
    <row r="111" spans="1:15" ht="18" x14ac:dyDescent="0.2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</row>
    <row r="112" spans="1:15" ht="18" x14ac:dyDescent="0.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</row>
    <row r="113" spans="1:15" ht="18" x14ac:dyDescent="0.2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</row>
    <row r="114" spans="1:15" ht="18" x14ac:dyDescent="0.2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</row>
    <row r="115" spans="1:15" ht="18" x14ac:dyDescent="0.2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</row>
    <row r="116" spans="1:15" ht="18" x14ac:dyDescent="0.2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</row>
    <row r="117" spans="1:15" ht="18" x14ac:dyDescent="0.2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</row>
    <row r="118" spans="1:15" ht="18" x14ac:dyDescent="0.2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</row>
    <row r="119" spans="1:15" ht="18" x14ac:dyDescent="0.2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</row>
    <row r="120" spans="1:15" ht="18" x14ac:dyDescent="0.2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</row>
    <row r="121" spans="1:15" ht="18" x14ac:dyDescent="0.2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</row>
    <row r="122" spans="1:15" ht="18" x14ac:dyDescent="0.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</row>
    <row r="123" spans="1:15" ht="18" x14ac:dyDescent="0.2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</row>
    <row r="124" spans="1:15" ht="18" x14ac:dyDescent="0.2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</row>
    <row r="125" spans="1:15" ht="18" x14ac:dyDescent="0.2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</row>
    <row r="126" spans="1:15" ht="18" x14ac:dyDescent="0.2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</row>
    <row r="127" spans="1:15" ht="18" x14ac:dyDescent="0.2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</row>
    <row r="128" spans="1:15" ht="18" x14ac:dyDescent="0.2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</row>
    <row r="129" spans="1:15" ht="18" x14ac:dyDescent="0.2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</row>
    <row r="130" spans="1:15" ht="18" x14ac:dyDescent="0.2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</row>
    <row r="131" spans="1:15" ht="18" x14ac:dyDescent="0.2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</row>
    <row r="132" spans="1:15" ht="18" x14ac:dyDescent="0.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</row>
    <row r="133" spans="1:15" ht="18" x14ac:dyDescent="0.2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</row>
    <row r="134" spans="1:15" ht="18" x14ac:dyDescent="0.2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</row>
    <row r="135" spans="1:15" ht="18" x14ac:dyDescent="0.2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</row>
    <row r="136" spans="1:15" ht="18" x14ac:dyDescent="0.2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</row>
    <row r="137" spans="1:15" ht="18" x14ac:dyDescent="0.2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</row>
    <row r="138" spans="1:15" ht="18" x14ac:dyDescent="0.2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</row>
    <row r="139" spans="1:15" ht="18" x14ac:dyDescent="0.2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</row>
    <row r="140" spans="1:15" ht="18" x14ac:dyDescent="0.2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</row>
    <row r="141" spans="1:15" ht="18" x14ac:dyDescent="0.2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</row>
    <row r="142" spans="1:15" ht="18" x14ac:dyDescent="0.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</row>
    <row r="143" spans="1:15" ht="18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</row>
  </sheetData>
  <mergeCells count="3">
    <mergeCell ref="A1:O1"/>
    <mergeCell ref="A100:G100"/>
    <mergeCell ref="A101:G101"/>
  </mergeCells>
  <conditionalFormatting sqref="C3:O3">
    <cfRule type="cellIs" dxfId="85" priority="1" stopIfTrue="1" operator="lessThan">
      <formula>4.5</formula>
    </cfRule>
    <cfRule type="cellIs" dxfId="84" priority="2" stopIfTrue="1" operator="greaterThan">
      <formula>5.5</formula>
    </cfRule>
    <cfRule type="cellIs" dxfId="83" priority="88" stopIfTrue="1" operator="lessThan">
      <formula>4.4</formula>
    </cfRule>
    <cfRule type="cellIs" dxfId="82" priority="87" stopIfTrue="1" operator="greaterThan">
      <formula>5.6</formula>
    </cfRule>
    <cfRule type="cellIs" dxfId="81" priority="89" stopIfTrue="1" operator="lessThan">
      <formula>4.5</formula>
    </cfRule>
  </conditionalFormatting>
  <conditionalFormatting sqref="C4:O4">
    <cfRule type="cellIs" dxfId="80" priority="84" stopIfTrue="1" operator="greaterThan">
      <formula>16.5</formula>
    </cfRule>
    <cfRule type="cellIs" dxfId="79" priority="86" stopIfTrue="1" operator="lessThan">
      <formula>11</formula>
    </cfRule>
    <cfRule type="cellIs" dxfId="78" priority="85" stopIfTrue="1" operator="lessThan">
      <formula>11.9</formula>
    </cfRule>
  </conditionalFormatting>
  <conditionalFormatting sqref="C5:O5">
    <cfRule type="cellIs" dxfId="77" priority="82" stopIfTrue="1" operator="lessThan">
      <formula>40</formula>
    </cfRule>
    <cfRule type="cellIs" dxfId="76" priority="83" stopIfTrue="1" operator="greaterThan">
      <formula>50</formula>
    </cfRule>
  </conditionalFormatting>
  <conditionalFormatting sqref="C6:O6">
    <cfRule type="cellIs" dxfId="75" priority="80" stopIfTrue="1" operator="lessThan">
      <formula>88</formula>
    </cfRule>
    <cfRule type="cellIs" dxfId="74" priority="81" stopIfTrue="1" operator="greaterThan">
      <formula>92</formula>
    </cfRule>
  </conditionalFormatting>
  <conditionalFormatting sqref="C7:O7">
    <cfRule type="cellIs" dxfId="73" priority="79" stopIfTrue="1" operator="greaterThan">
      <formula>32</formula>
    </cfRule>
    <cfRule type="cellIs" dxfId="72" priority="78" stopIfTrue="1" operator="lessThan">
      <formula>26</formula>
    </cfRule>
  </conditionalFormatting>
  <conditionalFormatting sqref="C8:O8">
    <cfRule type="cellIs" dxfId="71" priority="76" stopIfTrue="1" operator="lessThan">
      <formula>31.5</formula>
    </cfRule>
    <cfRule type="cellIs" dxfId="70" priority="77" stopIfTrue="1" operator="greaterThan">
      <formula>36.5</formula>
    </cfRule>
  </conditionalFormatting>
  <conditionalFormatting sqref="C9:O9">
    <cfRule type="cellIs" dxfId="69" priority="74" stopIfTrue="1" operator="lessThan">
      <formula>11</formula>
    </cfRule>
    <cfRule type="cellIs" dxfId="68" priority="75" stopIfTrue="1" operator="greaterThan">
      <formula>11</formula>
    </cfRule>
  </conditionalFormatting>
  <conditionalFormatting sqref="C10:O10">
    <cfRule type="cellIs" dxfId="67" priority="72" stopIfTrue="1" operator="lessThan">
      <formula>5000</formula>
    </cfRule>
    <cfRule type="cellIs" dxfId="66" priority="73" stopIfTrue="1" operator="greaterThan">
      <formula>6500</formula>
    </cfRule>
  </conditionalFormatting>
  <conditionalFormatting sqref="C11:O11">
    <cfRule type="cellIs" dxfId="65" priority="70" stopIfTrue="1" operator="lessThan">
      <formula>45</formula>
    </cfRule>
    <cfRule type="cellIs" dxfId="64" priority="71" stopIfTrue="1" operator="greaterThan">
      <formula>55</formula>
    </cfRule>
  </conditionalFormatting>
  <conditionalFormatting sqref="C12:O12">
    <cfRule type="cellIs" dxfId="63" priority="68" stopIfTrue="1" operator="lessThan">
      <formula>25</formula>
    </cfRule>
    <cfRule type="cellIs" dxfId="62" priority="69" stopIfTrue="1" operator="greaterThan">
      <formula>35</formula>
    </cfRule>
  </conditionalFormatting>
  <conditionalFormatting sqref="C13:O13">
    <cfRule type="cellIs" dxfId="61" priority="67" stopIfTrue="1" operator="greaterThan">
      <formula>2</formula>
    </cfRule>
  </conditionalFormatting>
  <conditionalFormatting sqref="C14:O14">
    <cfRule type="cellIs" dxfId="60" priority="66" stopIfTrue="1" operator="greaterThan">
      <formula>8</formula>
    </cfRule>
  </conditionalFormatting>
  <conditionalFormatting sqref="C15:O15">
    <cfRule type="cellIs" dxfId="59" priority="65" stopIfTrue="1" operator="greaterThan">
      <formula>1</formula>
    </cfRule>
  </conditionalFormatting>
  <conditionalFormatting sqref="C16:O16">
    <cfRule type="cellIs" dxfId="58" priority="64" stopIfTrue="1" operator="greaterThan">
      <formula>300000</formula>
    </cfRule>
  </conditionalFormatting>
  <conditionalFormatting sqref="C17:O17">
    <cfRule type="cellIs" dxfId="57" priority="63" stopIfTrue="1" operator="greaterThan">
      <formula>7</formula>
    </cfRule>
  </conditionalFormatting>
  <conditionalFormatting sqref="C18:O18">
    <cfRule type="cellIs" dxfId="56" priority="61" stopIfTrue="1" operator="lessThan">
      <formula>70</formula>
    </cfRule>
    <cfRule type="cellIs" dxfId="55" priority="62" stopIfTrue="1" operator="greaterThan">
      <formula>99</formula>
    </cfRule>
  </conditionalFormatting>
  <conditionalFormatting sqref="C19:O19">
    <cfRule type="cellIs" dxfId="54" priority="60" stopIfTrue="1" operator="greaterThan">
      <formula>5</formula>
    </cfRule>
  </conditionalFormatting>
  <conditionalFormatting sqref="C20:O22">
    <cfRule type="cellIs" dxfId="53" priority="59" stopIfTrue="1" operator="greaterThan">
      <formula>10</formula>
    </cfRule>
  </conditionalFormatting>
  <conditionalFormatting sqref="C23:O23">
    <cfRule type="cellIs" dxfId="52" priority="58" stopIfTrue="1" operator="greaterThan">
      <formula>200</formula>
    </cfRule>
  </conditionalFormatting>
  <conditionalFormatting sqref="C24:O24">
    <cfRule type="cellIs" dxfId="51" priority="57" stopIfTrue="1" operator="lessThan">
      <formula>60</formula>
    </cfRule>
  </conditionalFormatting>
  <conditionalFormatting sqref="C25:O25">
    <cfRule type="cellIs" dxfId="50" priority="55" stopIfTrue="1" operator="greaterThan">
      <formula>150</formula>
    </cfRule>
  </conditionalFormatting>
  <conditionalFormatting sqref="C26:O26">
    <cfRule type="cellIs" dxfId="49" priority="54" stopIfTrue="1" operator="greaterThan">
      <formula>100</formula>
    </cfRule>
  </conditionalFormatting>
  <conditionalFormatting sqref="C27:O27">
    <cfRule type="cellIs" dxfId="48" priority="53" stopIfTrue="1" operator="greaterThan">
      <formula>3.3</formula>
    </cfRule>
  </conditionalFormatting>
  <conditionalFormatting sqref="C28:O28">
    <cfRule type="cellIs" dxfId="47" priority="52" stopIfTrue="1" operator="greaterThan">
      <formula>2.3</formula>
    </cfRule>
  </conditionalFormatting>
  <conditionalFormatting sqref="C29:O29">
    <cfRule type="cellIs" dxfId="46" priority="51" stopIfTrue="1" operator="greaterThan">
      <formula>2.5</formula>
    </cfRule>
  </conditionalFormatting>
  <conditionalFormatting sqref="C30:O32">
    <cfRule type="cellIs" dxfId="45" priority="49" stopIfTrue="1" operator="greaterThan">
      <formula>20</formula>
    </cfRule>
  </conditionalFormatting>
  <conditionalFormatting sqref="C33:O33">
    <cfRule type="cellIs" dxfId="44" priority="48" stopIfTrue="1" operator="greaterThan">
      <formula>16</formula>
    </cfRule>
  </conditionalFormatting>
  <conditionalFormatting sqref="C34:O34">
    <cfRule type="cellIs" dxfId="43" priority="47" stopIfTrue="1" operator="greaterThan">
      <formula>1.2</formula>
    </cfRule>
    <cfRule type="cellIs" dxfId="42" priority="46" stopIfTrue="1" operator="lessThan">
      <formula>0.6</formula>
    </cfRule>
  </conditionalFormatting>
  <conditionalFormatting sqref="C35:O35">
    <cfRule type="cellIs" dxfId="41" priority="45" stopIfTrue="1" operator="greaterThan">
      <formula>45</formula>
    </cfRule>
    <cfRule type="cellIs" dxfId="40" priority="44" stopIfTrue="1" operator="lessThan">
      <formula>10</formula>
    </cfRule>
  </conditionalFormatting>
  <conditionalFormatting sqref="C36:O36">
    <cfRule type="cellIs" dxfId="39" priority="43" stopIfTrue="1" operator="greaterThan">
      <formula>30</formula>
    </cfRule>
  </conditionalFormatting>
  <conditionalFormatting sqref="C37:O37">
    <cfRule type="cellIs" dxfId="38" priority="42" stopIfTrue="1" operator="greaterThan">
      <formula>0.6</formula>
    </cfRule>
  </conditionalFormatting>
  <conditionalFormatting sqref="C38:O38">
    <cfRule type="cellIs" dxfId="37" priority="41" stopIfTrue="1" operator="greaterThan">
      <formula>10</formula>
    </cfRule>
  </conditionalFormatting>
  <conditionalFormatting sqref="C39:O39">
    <cfRule type="cellIs" dxfId="36" priority="40" stopIfTrue="1" operator="greaterThan">
      <formula>300</formula>
    </cfRule>
  </conditionalFormatting>
  <conditionalFormatting sqref="C40:O40">
    <cfRule type="cellIs" dxfId="35" priority="38" stopIfTrue="1" operator="lessThan">
      <formula>0.5</formula>
    </cfRule>
    <cfRule type="cellIs" dxfId="34" priority="39" stopIfTrue="1" operator="greaterThan">
      <formula>2.5</formula>
    </cfRule>
  </conditionalFormatting>
  <conditionalFormatting sqref="C41:O41">
    <cfRule type="cellIs" dxfId="33" priority="36" stopIfTrue="1" operator="lessThan">
      <formula>0.7</formula>
    </cfRule>
    <cfRule type="cellIs" dxfId="32" priority="37" stopIfTrue="1" operator="greaterThan">
      <formula>1.8</formula>
    </cfRule>
  </conditionalFormatting>
  <conditionalFormatting sqref="C42:O44">
    <cfRule type="cellIs" dxfId="31" priority="34" stopIfTrue="1" operator="lessThan">
      <formula>2.5</formula>
    </cfRule>
    <cfRule type="cellIs" dxfId="30" priority="35" stopIfTrue="1" operator="greaterThan">
      <formula>3.9</formula>
    </cfRule>
  </conditionalFormatting>
  <conditionalFormatting sqref="C45:O48">
    <cfRule type="cellIs" dxfId="29" priority="33" stopIfTrue="1" operator="greaterThan">
      <formula>34</formula>
    </cfRule>
  </conditionalFormatting>
  <conditionalFormatting sqref="C49:O49">
    <cfRule type="cellIs" dxfId="28" priority="32" stopIfTrue="1" operator="greaterThan">
      <formula>160</formula>
    </cfRule>
  </conditionalFormatting>
  <conditionalFormatting sqref="C49:O51">
    <cfRule type="cellIs" dxfId="27" priority="29" stopIfTrue="1" operator="lessThan">
      <formula>30</formula>
    </cfRule>
  </conditionalFormatting>
  <conditionalFormatting sqref="C50:O51">
    <cfRule type="cellIs" dxfId="26" priority="30" stopIfTrue="1" operator="greaterThan">
      <formula>80</formula>
    </cfRule>
  </conditionalFormatting>
  <conditionalFormatting sqref="C52:O52">
    <cfRule type="cellIs" dxfId="25" priority="28" stopIfTrue="1" operator="lessThan">
      <formula>400</formula>
    </cfRule>
  </conditionalFormatting>
  <conditionalFormatting sqref="C53:O53">
    <cfRule type="cellIs" dxfId="24" priority="27" stopIfTrue="1" operator="lessThan">
      <formula>10</formula>
    </cfRule>
  </conditionalFormatting>
  <conditionalFormatting sqref="C54:O54">
    <cfRule type="cellIs" dxfId="23" priority="26" stopIfTrue="1" operator="lessThan">
      <formula>95</formula>
    </cfRule>
  </conditionalFormatting>
  <conditionalFormatting sqref="C55:O55">
    <cfRule type="cellIs" dxfId="22" priority="24" stopIfTrue="1" operator="lessThan">
      <formula>40</formula>
    </cfRule>
    <cfRule type="cellIs" dxfId="21" priority="25" stopIfTrue="1" operator="greaterThan">
      <formula>100</formula>
    </cfRule>
  </conditionalFormatting>
  <conditionalFormatting sqref="C56:O56">
    <cfRule type="cellIs" dxfId="20" priority="23" stopIfTrue="1" operator="greaterThan">
      <formula>110</formula>
    </cfRule>
    <cfRule type="cellIs" dxfId="19" priority="22" stopIfTrue="1" operator="lessThan">
      <formula>85</formula>
    </cfRule>
  </conditionalFormatting>
  <conditionalFormatting sqref="C57:O58">
    <cfRule type="cellIs" dxfId="18" priority="20" stopIfTrue="1" operator="lessThan">
      <formula>2</formula>
    </cfRule>
    <cfRule type="cellIs" dxfId="17" priority="21" stopIfTrue="1" operator="greaterThan">
      <formula>2.4</formula>
    </cfRule>
  </conditionalFormatting>
  <conditionalFormatting sqref="C59:O59">
    <cfRule type="cellIs" dxfId="16" priority="18" stopIfTrue="1" operator="lessThan">
      <formula>100</formula>
    </cfRule>
    <cfRule type="cellIs" dxfId="15" priority="19" stopIfTrue="1" operator="greaterThan">
      <formula>143</formula>
    </cfRule>
  </conditionalFormatting>
  <conditionalFormatting sqref="C60:O60">
    <cfRule type="cellIs" dxfId="14" priority="16" stopIfTrue="1" operator="lessThan">
      <formula>2.6</formula>
    </cfRule>
    <cfRule type="cellIs" dxfId="13" priority="17" stopIfTrue="1" operator="greaterThan">
      <formula>7.2</formula>
    </cfRule>
  </conditionalFormatting>
  <conditionalFormatting sqref="C61:O61">
    <cfRule type="cellIs" dxfId="12" priority="15" stopIfTrue="1" operator="greaterThan">
      <formula>130</formula>
    </cfRule>
    <cfRule type="cellIs" dxfId="11" priority="14" stopIfTrue="1" operator="lessThan">
      <formula>40</formula>
    </cfRule>
  </conditionalFormatting>
  <conditionalFormatting sqref="C62:O62">
    <cfRule type="cellIs" dxfId="10" priority="13" stopIfTrue="1" operator="lessThan">
      <formula>6.5</formula>
    </cfRule>
  </conditionalFormatting>
  <conditionalFormatting sqref="C63:O63">
    <cfRule type="cellIs" dxfId="9" priority="12" stopIfTrue="1" operator="greaterThan">
      <formula>1010</formula>
    </cfRule>
  </conditionalFormatting>
  <conditionalFormatting sqref="C64:O64">
    <cfRule type="cellIs" dxfId="8" priority="11" stopIfTrue="1" operator="greaterThan">
      <formula>40</formula>
    </cfRule>
  </conditionalFormatting>
  <conditionalFormatting sqref="C70:O70">
    <cfRule type="cellIs" dxfId="7" priority="6" stopIfTrue="1" operator="lessThan">
      <formula>35</formula>
    </cfRule>
    <cfRule type="cellIs" dxfId="6" priority="7" stopIfTrue="1" operator="greaterThan">
      <formula>430</formula>
    </cfRule>
  </conditionalFormatting>
  <conditionalFormatting sqref="C76:O76">
    <cfRule type="cellIs" dxfId="5" priority="3" stopIfTrue="1" operator="lessThan">
      <formula>35</formula>
    </cfRule>
    <cfRule type="cellIs" dxfId="4" priority="4" stopIfTrue="1" operator="greaterThan">
      <formula>45</formula>
    </cfRule>
  </conditionalFormatting>
  <conditionalFormatting sqref="C77:O77">
    <cfRule type="cellIs" dxfId="3" priority="9" stopIfTrue="1" operator="greaterThan">
      <formula>135</formula>
    </cfRule>
    <cfRule type="cellIs" dxfId="2" priority="8" stopIfTrue="1" operator="lessThan">
      <formula>18</formula>
    </cfRule>
  </conditionalFormatting>
  <conditionalFormatting sqref="C81:O81">
    <cfRule type="cellIs" dxfId="1" priority="10" stopIfTrue="1" operator="greaterThan">
      <formula>368</formula>
    </cfRule>
  </conditionalFormatting>
  <conditionalFormatting sqref="C84:O84">
    <cfRule type="cellIs" dxfId="0" priority="5" stopIfTrue="1" operator="greaterThan">
      <formula>30</formula>
    </cfRule>
  </conditionalFormatting>
  <pageMargins left="0.78740157499999996" right="0.78740157499999996" top="0.984251969" bottom="0.984251969" header="0.49212598499999999" footer="0.49212598499999999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5"/>
  <sheetViews>
    <sheetView workbookViewId="0">
      <selection activeCell="C22" sqref="C22"/>
    </sheetView>
  </sheetViews>
  <sheetFormatPr baseColWidth="10" defaultColWidth="8.83203125" defaultRowHeight="15" x14ac:dyDescent="0.2"/>
  <cols>
    <col min="2" max="2" width="16.5" customWidth="1"/>
    <col min="3" max="3" width="15.1640625" customWidth="1"/>
    <col min="4" max="4" width="15.6640625" customWidth="1"/>
    <col min="5" max="5" width="14.1640625" customWidth="1"/>
    <col min="6" max="6" width="12.5" customWidth="1"/>
    <col min="7" max="7" width="12.1640625" customWidth="1"/>
    <col min="8" max="8" width="15.6640625" customWidth="1"/>
    <col min="9" max="9" width="13.1640625" customWidth="1"/>
    <col min="10" max="10" width="12.1640625" customWidth="1"/>
  </cols>
  <sheetData>
    <row r="1" spans="2:10" x14ac:dyDescent="0.2">
      <c r="B1" t="s">
        <v>9</v>
      </c>
    </row>
    <row r="3" spans="2:10" ht="16" thickBot="1" x14ac:dyDescent="0.25"/>
    <row r="4" spans="2:10" ht="16" thickBot="1" x14ac:dyDescent="0.25">
      <c r="B4" s="1" t="s">
        <v>14</v>
      </c>
      <c r="C4" s="2" t="e">
        <f>#REF!</f>
        <v>#REF!</v>
      </c>
      <c r="D4" s="2" t="e">
        <f>#REF!</f>
        <v>#REF!</v>
      </c>
      <c r="E4" s="2" t="e">
        <f>#REF!</f>
        <v>#REF!</v>
      </c>
      <c r="F4" s="2" t="e">
        <f>#REF!</f>
        <v>#REF!</v>
      </c>
      <c r="G4" s="2" t="e">
        <f>#REF!</f>
        <v>#REF!</v>
      </c>
      <c r="H4" s="2" t="e">
        <f>#REF!</f>
        <v>#REF!</v>
      </c>
      <c r="I4" s="2" t="e">
        <f>#REF!</f>
        <v>#REF!</v>
      </c>
      <c r="J4" s="2" t="e">
        <f>#REF!</f>
        <v>#REF!</v>
      </c>
    </row>
    <row r="5" spans="2:10" ht="16" thickBot="1" x14ac:dyDescent="0.25">
      <c r="B5" s="1" t="s">
        <v>22</v>
      </c>
      <c r="C5" s="2" t="e">
        <f>#REF!</f>
        <v>#REF!</v>
      </c>
      <c r="D5" s="2" t="e">
        <f>#REF!</f>
        <v>#REF!</v>
      </c>
      <c r="E5" s="2" t="e">
        <f>#REF!</f>
        <v>#REF!</v>
      </c>
      <c r="F5" s="2" t="e">
        <f>#REF!</f>
        <v>#REF!</v>
      </c>
      <c r="G5" s="2" t="e">
        <f>#REF!</f>
        <v>#REF!</v>
      </c>
      <c r="H5" s="2" t="e">
        <f>#REF!</f>
        <v>#REF!</v>
      </c>
      <c r="I5" s="2" t="e">
        <f>#REF!</f>
        <v>#REF!</v>
      </c>
      <c r="J5" s="2" t="e">
        <f>#REF!</f>
        <v>#REF!</v>
      </c>
    </row>
    <row r="6" spans="2:10" ht="16" thickBot="1" x14ac:dyDescent="0.25">
      <c r="B6" s="1" t="s">
        <v>2</v>
      </c>
      <c r="C6" s="2" t="e">
        <f>#REF!</f>
        <v>#REF!</v>
      </c>
      <c r="D6" s="2" t="e">
        <f>#REF!</f>
        <v>#REF!</v>
      </c>
      <c r="E6" s="2" t="e">
        <f>#REF!</f>
        <v>#REF!</v>
      </c>
      <c r="F6" s="2" t="e">
        <f>#REF!</f>
        <v>#REF!</v>
      </c>
      <c r="G6" s="2" t="e">
        <f>#REF!</f>
        <v>#REF!</v>
      </c>
      <c r="H6" s="2" t="e">
        <f>#REF!</f>
        <v>#REF!</v>
      </c>
      <c r="I6" s="2" t="e">
        <f>#REF!</f>
        <v>#REF!</v>
      </c>
      <c r="J6" s="2" t="e">
        <f>#REF!</f>
        <v>#REF!</v>
      </c>
    </row>
    <row r="7" spans="2:10" ht="16" thickBot="1" x14ac:dyDescent="0.25">
      <c r="B7" s="1" t="s">
        <v>3</v>
      </c>
      <c r="C7" s="2" t="e">
        <f>#REF!</f>
        <v>#REF!</v>
      </c>
      <c r="D7" s="2" t="e">
        <f>#REF!</f>
        <v>#REF!</v>
      </c>
      <c r="E7" s="2" t="e">
        <f>#REF!</f>
        <v>#REF!</v>
      </c>
      <c r="F7" s="2" t="e">
        <f>#REF!</f>
        <v>#REF!</v>
      </c>
      <c r="G7" s="2" t="e">
        <f>#REF!</f>
        <v>#REF!</v>
      </c>
      <c r="H7" s="2" t="e">
        <f>#REF!</f>
        <v>#REF!</v>
      </c>
      <c r="I7" s="2" t="e">
        <f>#REF!</f>
        <v>#REF!</v>
      </c>
      <c r="J7" s="2" t="e">
        <f>#REF!</f>
        <v>#REF!</v>
      </c>
    </row>
    <row r="8" spans="2:10" ht="16" thickBot="1" x14ac:dyDescent="0.25">
      <c r="B8" s="1" t="s">
        <v>4</v>
      </c>
      <c r="C8" s="2" t="e">
        <f>#REF!</f>
        <v>#REF!</v>
      </c>
      <c r="D8" s="2" t="e">
        <f>#REF!</f>
        <v>#REF!</v>
      </c>
      <c r="E8" s="2" t="e">
        <f>#REF!</f>
        <v>#REF!</v>
      </c>
      <c r="F8" s="2" t="e">
        <f>#REF!</f>
        <v>#REF!</v>
      </c>
      <c r="G8" s="2" t="e">
        <f>#REF!</f>
        <v>#REF!</v>
      </c>
      <c r="H8" s="2" t="e">
        <f>#REF!</f>
        <v>#REF!</v>
      </c>
      <c r="I8" s="2" t="e">
        <f>#REF!</f>
        <v>#REF!</v>
      </c>
      <c r="J8" s="2" t="e">
        <f>#REF!</f>
        <v>#REF!</v>
      </c>
    </row>
    <row r="9" spans="2:10" ht="16" thickBot="1" x14ac:dyDescent="0.25">
      <c r="B9" s="1" t="s">
        <v>5</v>
      </c>
      <c r="C9" s="2" t="e">
        <f>#REF!</f>
        <v>#REF!</v>
      </c>
      <c r="D9" s="2" t="e">
        <f>#REF!</f>
        <v>#REF!</v>
      </c>
      <c r="E9" s="2" t="e">
        <f>#REF!</f>
        <v>#REF!</v>
      </c>
      <c r="F9" s="2" t="e">
        <f>#REF!</f>
        <v>#REF!</v>
      </c>
      <c r="G9" s="2" t="e">
        <f>#REF!</f>
        <v>#REF!</v>
      </c>
      <c r="H9" s="2" t="e">
        <f>#REF!</f>
        <v>#REF!</v>
      </c>
      <c r="I9" s="2" t="e">
        <f>#REF!</f>
        <v>#REF!</v>
      </c>
      <c r="J9" s="2" t="e">
        <f>#REF!</f>
        <v>#REF!</v>
      </c>
    </row>
    <row r="10" spans="2:10" ht="16" thickBot="1" x14ac:dyDescent="0.25">
      <c r="B10" s="1" t="s">
        <v>6</v>
      </c>
      <c r="C10" s="2" t="e">
        <f>#REF!</f>
        <v>#REF!</v>
      </c>
      <c r="D10" s="2" t="e">
        <f>#REF!</f>
        <v>#REF!</v>
      </c>
      <c r="E10" s="2" t="e">
        <f>#REF!</f>
        <v>#REF!</v>
      </c>
      <c r="F10" s="2" t="e">
        <f>#REF!</f>
        <v>#REF!</v>
      </c>
      <c r="G10" s="2" t="e">
        <f>#REF!</f>
        <v>#REF!</v>
      </c>
      <c r="H10" s="2" t="e">
        <f>#REF!</f>
        <v>#REF!</v>
      </c>
      <c r="I10" s="2" t="e">
        <f>#REF!</f>
        <v>#REF!</v>
      </c>
      <c r="J10" s="2" t="e">
        <f>#REF!</f>
        <v>#REF!</v>
      </c>
    </row>
    <row r="11" spans="2:10" ht="16" thickBot="1" x14ac:dyDescent="0.25">
      <c r="B11" s="1" t="s">
        <v>7</v>
      </c>
      <c r="C11" s="2" t="e">
        <f>#REF!</f>
        <v>#REF!</v>
      </c>
      <c r="D11" s="2" t="e">
        <f>#REF!</f>
        <v>#REF!</v>
      </c>
      <c r="E11" s="2" t="e">
        <f>#REF!</f>
        <v>#REF!</v>
      </c>
      <c r="F11" s="2" t="e">
        <f>#REF!</f>
        <v>#REF!</v>
      </c>
      <c r="G11" s="2" t="e">
        <f>#REF!</f>
        <v>#REF!</v>
      </c>
      <c r="H11" s="2" t="e">
        <f>#REF!</f>
        <v>#REF!</v>
      </c>
      <c r="I11" s="2" t="e">
        <f>#REF!</f>
        <v>#REF!</v>
      </c>
      <c r="J11" s="2" t="e">
        <f>#REF!</f>
        <v>#REF!</v>
      </c>
    </row>
    <row r="12" spans="2:10" ht="16" thickBot="1" x14ac:dyDescent="0.25">
      <c r="B12" s="1" t="s">
        <v>0</v>
      </c>
      <c r="C12" s="2" t="e">
        <f>#REF!</f>
        <v>#REF!</v>
      </c>
      <c r="D12" s="2" t="e">
        <f>#REF!</f>
        <v>#REF!</v>
      </c>
      <c r="E12" s="2" t="e">
        <f>#REF!</f>
        <v>#REF!</v>
      </c>
      <c r="F12" s="2" t="e">
        <f>#REF!</f>
        <v>#REF!</v>
      </c>
      <c r="G12" s="2" t="e">
        <f>#REF!</f>
        <v>#REF!</v>
      </c>
      <c r="H12" s="2" t="e">
        <f>#REF!</f>
        <v>#REF!</v>
      </c>
      <c r="I12" s="2" t="e">
        <f>#REF!</f>
        <v>#REF!</v>
      </c>
      <c r="J12" s="2" t="e">
        <f>#REF!</f>
        <v>#REF!</v>
      </c>
    </row>
    <row r="13" spans="2:10" ht="16" thickBot="1" x14ac:dyDescent="0.25"/>
    <row r="14" spans="2:10" ht="16" thickBot="1" x14ac:dyDescent="0.25">
      <c r="B14" s="1" t="s">
        <v>10</v>
      </c>
      <c r="C14" s="2" t="e">
        <f>SUM(C6:C12)</f>
        <v>#REF!</v>
      </c>
      <c r="D14" s="2" t="e">
        <f t="shared" ref="D14:J14" si="0">SUM(D6:D12)</f>
        <v>#REF!</v>
      </c>
      <c r="E14" s="2" t="e">
        <f t="shared" si="0"/>
        <v>#REF!</v>
      </c>
      <c r="F14" s="2" t="e">
        <f t="shared" si="0"/>
        <v>#REF!</v>
      </c>
      <c r="G14" s="2" t="e">
        <f t="shared" si="0"/>
        <v>#REF!</v>
      </c>
      <c r="H14" s="2" t="e">
        <f t="shared" si="0"/>
        <v>#REF!</v>
      </c>
      <c r="I14" s="2" t="e">
        <f t="shared" si="0"/>
        <v>#REF!</v>
      </c>
      <c r="J14" s="2" t="e">
        <f t="shared" si="0"/>
        <v>#REF!</v>
      </c>
    </row>
    <row r="15" spans="2:10" ht="16" thickBot="1" x14ac:dyDescent="0.25">
      <c r="B15" s="1" t="s">
        <v>11</v>
      </c>
      <c r="C15" s="2" t="e">
        <f>SUM(C14*C14)</f>
        <v>#REF!</v>
      </c>
      <c r="D15" s="2" t="e">
        <f t="shared" ref="D15:J15" si="1">SUM(D14*D14)</f>
        <v>#REF!</v>
      </c>
      <c r="E15" s="2" t="e">
        <f t="shared" si="1"/>
        <v>#REF!</v>
      </c>
      <c r="F15" s="2" t="e">
        <f t="shared" si="1"/>
        <v>#REF!</v>
      </c>
      <c r="G15" s="2" t="e">
        <f t="shared" si="1"/>
        <v>#REF!</v>
      </c>
      <c r="H15" s="2" t="e">
        <f t="shared" si="1"/>
        <v>#REF!</v>
      </c>
      <c r="I15" s="2" t="e">
        <f t="shared" si="1"/>
        <v>#REF!</v>
      </c>
      <c r="J15" s="2" t="e">
        <f t="shared" si="1"/>
        <v>#REF!</v>
      </c>
    </row>
    <row r="16" spans="2:10" ht="16" thickBot="1" x14ac:dyDescent="0.25">
      <c r="B16" s="1" t="s">
        <v>15</v>
      </c>
      <c r="C16" s="2" t="e">
        <f>SUM(0.0004697*C14)</f>
        <v>#REF!</v>
      </c>
      <c r="D16" s="2" t="e">
        <f t="shared" ref="D16:J16" si="2">SUM(0.0004697*D14)</f>
        <v>#REF!</v>
      </c>
      <c r="E16" s="2" t="e">
        <f t="shared" si="2"/>
        <v>#REF!</v>
      </c>
      <c r="F16" s="2" t="e">
        <f t="shared" si="2"/>
        <v>#REF!</v>
      </c>
      <c r="G16" s="2" t="e">
        <f t="shared" si="2"/>
        <v>#REF!</v>
      </c>
      <c r="H16" s="2" t="e">
        <f t="shared" si="2"/>
        <v>#REF!</v>
      </c>
      <c r="I16" s="2" t="e">
        <f t="shared" si="2"/>
        <v>#REF!</v>
      </c>
      <c r="J16" s="2" t="e">
        <f t="shared" si="2"/>
        <v>#REF!</v>
      </c>
    </row>
    <row r="17" spans="2:10" ht="16" thickBot="1" x14ac:dyDescent="0.25">
      <c r="B17" s="1" t="s">
        <v>12</v>
      </c>
      <c r="C17" s="2" t="e">
        <f>SUM(0.00000056*C15)</f>
        <v>#REF!</v>
      </c>
      <c r="D17" s="2" t="e">
        <f t="shared" ref="D17:J17" si="3">SUM(0.00000056*D15)</f>
        <v>#REF!</v>
      </c>
      <c r="E17" s="2" t="e">
        <f t="shared" si="3"/>
        <v>#REF!</v>
      </c>
      <c r="F17" s="2" t="e">
        <f t="shared" si="3"/>
        <v>#REF!</v>
      </c>
      <c r="G17" s="2" t="e">
        <f t="shared" si="3"/>
        <v>#REF!</v>
      </c>
      <c r="H17" s="2" t="e">
        <f t="shared" si="3"/>
        <v>#REF!</v>
      </c>
      <c r="I17" s="2" t="e">
        <f t="shared" si="3"/>
        <v>#REF!</v>
      </c>
      <c r="J17" s="2" t="e">
        <f t="shared" si="3"/>
        <v>#REF!</v>
      </c>
    </row>
    <row r="18" spans="2:10" ht="16" thickBot="1" x14ac:dyDescent="0.25">
      <c r="B18" s="1" t="s">
        <v>13</v>
      </c>
      <c r="C18" s="2" t="e">
        <f>SUM(C4*0.00012828)</f>
        <v>#REF!</v>
      </c>
      <c r="D18" s="2" t="e">
        <f t="shared" ref="D18:J18" si="4">SUM(D4*0.00012828)</f>
        <v>#REF!</v>
      </c>
      <c r="E18" s="2" t="e">
        <f t="shared" si="4"/>
        <v>#REF!</v>
      </c>
      <c r="F18" s="2" t="e">
        <f t="shared" si="4"/>
        <v>#REF!</v>
      </c>
      <c r="G18" s="2" t="e">
        <f t="shared" si="4"/>
        <v>#REF!</v>
      </c>
      <c r="H18" s="2" t="e">
        <f t="shared" si="4"/>
        <v>#REF!</v>
      </c>
      <c r="I18" s="2" t="e">
        <f t="shared" si="4"/>
        <v>#REF!</v>
      </c>
      <c r="J18" s="2" t="e">
        <f t="shared" si="4"/>
        <v>#REF!</v>
      </c>
    </row>
    <row r="19" spans="2:10" ht="16" thickBot="1" x14ac:dyDescent="0.25">
      <c r="B19" s="1" t="s">
        <v>16</v>
      </c>
      <c r="C19" s="2" t="e">
        <f>SUM(1.097-C16+C17-C18)</f>
        <v>#REF!</v>
      </c>
      <c r="D19" s="2" t="e">
        <f t="shared" ref="D19:J19" si="5">SUM(1.097-D16+D17-D18)</f>
        <v>#REF!</v>
      </c>
      <c r="E19" s="2" t="e">
        <f t="shared" si="5"/>
        <v>#REF!</v>
      </c>
      <c r="F19" s="2" t="e">
        <f t="shared" si="5"/>
        <v>#REF!</v>
      </c>
      <c r="G19" s="2" t="e">
        <f t="shared" si="5"/>
        <v>#REF!</v>
      </c>
      <c r="H19" s="2" t="e">
        <f t="shared" si="5"/>
        <v>#REF!</v>
      </c>
      <c r="I19" s="2" t="e">
        <f t="shared" si="5"/>
        <v>#REF!</v>
      </c>
      <c r="J19" s="2" t="e">
        <f t="shared" si="5"/>
        <v>#REF!</v>
      </c>
    </row>
    <row r="20" spans="2:10" ht="16" thickBot="1" x14ac:dyDescent="0.25">
      <c r="B20" s="1" t="s">
        <v>18</v>
      </c>
      <c r="C20" s="2" t="e">
        <f>SUM(5.01/C19)</f>
        <v>#REF!</v>
      </c>
      <c r="D20" s="2" t="e">
        <f t="shared" ref="D20:J20" si="6">SUM(5.01/D19)</f>
        <v>#REF!</v>
      </c>
      <c r="E20" s="2" t="e">
        <f t="shared" si="6"/>
        <v>#REF!</v>
      </c>
      <c r="F20" s="2" t="e">
        <f t="shared" si="6"/>
        <v>#REF!</v>
      </c>
      <c r="G20" s="2" t="e">
        <f t="shared" si="6"/>
        <v>#REF!</v>
      </c>
      <c r="H20" s="2" t="e">
        <f t="shared" si="6"/>
        <v>#REF!</v>
      </c>
      <c r="I20" s="2" t="e">
        <f t="shared" si="6"/>
        <v>#REF!</v>
      </c>
      <c r="J20" s="2" t="e">
        <f t="shared" si="6"/>
        <v>#REF!</v>
      </c>
    </row>
    <row r="21" spans="2:10" ht="16" thickBot="1" x14ac:dyDescent="0.25">
      <c r="B21" s="1" t="s">
        <v>17</v>
      </c>
      <c r="C21" s="3" t="e">
        <f>SUM(C20-4.57)</f>
        <v>#REF!</v>
      </c>
      <c r="D21" s="3" t="e">
        <f t="shared" ref="D21:J21" si="7">SUM(D20-4.57)</f>
        <v>#REF!</v>
      </c>
      <c r="E21" s="3" t="e">
        <f t="shared" si="7"/>
        <v>#REF!</v>
      </c>
      <c r="F21" s="3" t="e">
        <f t="shared" si="7"/>
        <v>#REF!</v>
      </c>
      <c r="G21" s="3" t="e">
        <f t="shared" si="7"/>
        <v>#REF!</v>
      </c>
      <c r="H21" s="3" t="e">
        <f t="shared" si="7"/>
        <v>#REF!</v>
      </c>
      <c r="I21" s="3" t="e">
        <f t="shared" si="7"/>
        <v>#REF!</v>
      </c>
      <c r="J21" s="3" t="e">
        <f t="shared" si="7"/>
        <v>#REF!</v>
      </c>
    </row>
    <row r="22" spans="2:10" ht="16" thickBot="1" x14ac:dyDescent="0.25">
      <c r="B22" s="1" t="s">
        <v>20</v>
      </c>
      <c r="C22" s="2" t="e">
        <f>SUM(C20-4.57)</f>
        <v>#REF!</v>
      </c>
      <c r="D22" s="2" t="e">
        <f t="shared" ref="D22:J22" si="8">SUM(D20-4.57)</f>
        <v>#REF!</v>
      </c>
      <c r="E22" s="2" t="e">
        <f t="shared" si="8"/>
        <v>#REF!</v>
      </c>
      <c r="F22" s="2" t="e">
        <f t="shared" si="8"/>
        <v>#REF!</v>
      </c>
      <c r="G22" s="2" t="e">
        <f t="shared" si="8"/>
        <v>#REF!</v>
      </c>
      <c r="H22" s="2" t="e">
        <f t="shared" si="8"/>
        <v>#REF!</v>
      </c>
      <c r="I22" s="2" t="e">
        <f t="shared" si="8"/>
        <v>#REF!</v>
      </c>
      <c r="J22" s="2" t="e">
        <f t="shared" si="8"/>
        <v>#REF!</v>
      </c>
    </row>
    <row r="23" spans="2:10" ht="16" thickBot="1" x14ac:dyDescent="0.25">
      <c r="B23" s="1" t="s">
        <v>19</v>
      </c>
      <c r="C23" s="3" t="e">
        <f>SUM(1-C22)</f>
        <v>#REF!</v>
      </c>
      <c r="D23" s="3" t="e">
        <f t="shared" ref="D23:J23" si="9">SUM(1-D22)</f>
        <v>#REF!</v>
      </c>
      <c r="E23" s="3" t="e">
        <f t="shared" si="9"/>
        <v>#REF!</v>
      </c>
      <c r="F23" s="3" t="e">
        <f t="shared" si="9"/>
        <v>#REF!</v>
      </c>
      <c r="G23" s="3" t="e">
        <f t="shared" si="9"/>
        <v>#REF!</v>
      </c>
      <c r="H23" s="3" t="e">
        <f t="shared" si="9"/>
        <v>#REF!</v>
      </c>
      <c r="I23" s="3" t="e">
        <f t="shared" si="9"/>
        <v>#REF!</v>
      </c>
      <c r="J23" s="3" t="e">
        <f t="shared" si="9"/>
        <v>#REF!</v>
      </c>
    </row>
    <row r="24" spans="2:10" ht="16" thickBot="1" x14ac:dyDescent="0.25">
      <c r="B24" s="1" t="s">
        <v>21</v>
      </c>
      <c r="C24" s="4" t="e">
        <f>SUM(C5-C25)</f>
        <v>#REF!</v>
      </c>
      <c r="D24" s="4" t="e">
        <f t="shared" ref="D24:J24" si="10">SUM(D5-D25)</f>
        <v>#REF!</v>
      </c>
      <c r="E24" s="4" t="e">
        <f t="shared" si="10"/>
        <v>#REF!</v>
      </c>
      <c r="F24" s="4" t="e">
        <f t="shared" si="10"/>
        <v>#REF!</v>
      </c>
      <c r="G24" s="4" t="e">
        <f t="shared" si="10"/>
        <v>#REF!</v>
      </c>
      <c r="H24" s="4" t="e">
        <f t="shared" si="10"/>
        <v>#REF!</v>
      </c>
      <c r="I24" s="4" t="e">
        <f t="shared" si="10"/>
        <v>#REF!</v>
      </c>
      <c r="J24" s="4" t="e">
        <f t="shared" si="10"/>
        <v>#REF!</v>
      </c>
    </row>
    <row r="25" spans="2:10" ht="16" thickBot="1" x14ac:dyDescent="0.25">
      <c r="B25" s="1" t="s">
        <v>1</v>
      </c>
      <c r="C25" s="4" t="e">
        <f>SUM(C5*C23)</f>
        <v>#REF!</v>
      </c>
      <c r="D25" s="4" t="e">
        <f t="shared" ref="D25:I25" si="11">SUM(D5*D23)</f>
        <v>#REF!</v>
      </c>
      <c r="E25" s="4" t="e">
        <f t="shared" si="11"/>
        <v>#REF!</v>
      </c>
      <c r="F25" s="4" t="e">
        <f t="shared" si="11"/>
        <v>#REF!</v>
      </c>
      <c r="G25" s="4" t="e">
        <f t="shared" si="11"/>
        <v>#REF!</v>
      </c>
      <c r="H25" s="4" t="e">
        <f t="shared" si="11"/>
        <v>#REF!</v>
      </c>
      <c r="I25" s="4" t="e">
        <f t="shared" si="11"/>
        <v>#REF!</v>
      </c>
      <c r="J25" s="4" t="e">
        <f>SUM(J5*J23)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M93"/>
  <sheetViews>
    <sheetView zoomScale="125" workbookViewId="0">
      <selection activeCell="A52" sqref="A52:K56"/>
    </sheetView>
  </sheetViews>
  <sheetFormatPr baseColWidth="10" defaultColWidth="11.5" defaultRowHeight="12" x14ac:dyDescent="0.15"/>
  <cols>
    <col min="1" max="1" width="50.33203125" style="146" customWidth="1"/>
    <col min="2" max="2" width="79.33203125" style="146" customWidth="1"/>
    <col min="3" max="3" width="11.83203125" style="146" customWidth="1"/>
    <col min="4" max="4" width="13.83203125" style="146" customWidth="1"/>
    <col min="5" max="5" width="11.83203125" style="146" customWidth="1"/>
    <col min="6" max="6" width="12.1640625" style="146" customWidth="1"/>
    <col min="7" max="16384" width="11.5" style="146"/>
  </cols>
  <sheetData>
    <row r="1" spans="1:11" ht="24.75" customHeight="1" x14ac:dyDescent="0.2">
      <c r="A1" s="292" t="s">
        <v>699</v>
      </c>
      <c r="B1" s="292"/>
      <c r="C1" s="292"/>
      <c r="D1" s="292"/>
      <c r="E1" s="292"/>
      <c r="F1" s="292"/>
      <c r="G1" s="139"/>
      <c r="H1" s="139"/>
      <c r="I1" s="139"/>
      <c r="J1" s="139"/>
      <c r="K1" s="139"/>
    </row>
    <row r="2" spans="1:11" ht="18" x14ac:dyDescent="0.2">
      <c r="A2" s="135" t="s">
        <v>698</v>
      </c>
      <c r="B2" s="170">
        <f>QPC!Y2</f>
        <v>0</v>
      </c>
      <c r="C2" s="135"/>
      <c r="D2" s="135"/>
      <c r="E2" s="135"/>
      <c r="F2" s="135"/>
      <c r="G2" s="139"/>
      <c r="H2" s="139"/>
      <c r="I2" s="139"/>
      <c r="J2" s="139"/>
      <c r="K2" s="139"/>
    </row>
    <row r="3" spans="1:11" ht="18" x14ac:dyDescent="0.2">
      <c r="A3" s="135" t="s">
        <v>697</v>
      </c>
      <c r="B3" s="170">
        <f>QPC!AA2</f>
        <v>0</v>
      </c>
      <c r="C3" s="135"/>
      <c r="D3" s="135"/>
      <c r="E3" s="135"/>
      <c r="F3" s="135"/>
      <c r="G3" s="139"/>
      <c r="H3" s="139"/>
      <c r="I3" s="139"/>
      <c r="J3" s="139"/>
      <c r="K3" s="139"/>
    </row>
    <row r="4" spans="1:11" ht="18" x14ac:dyDescent="0.2">
      <c r="A4" s="135" t="s">
        <v>696</v>
      </c>
      <c r="B4" s="170">
        <f>QPC!W2</f>
        <v>0</v>
      </c>
      <c r="C4" s="135"/>
      <c r="D4" s="135"/>
      <c r="E4" s="135"/>
      <c r="F4" s="135"/>
      <c r="G4" s="139"/>
      <c r="H4" s="139"/>
      <c r="I4" s="139"/>
      <c r="J4" s="139"/>
      <c r="K4" s="139"/>
    </row>
    <row r="5" spans="1:11" ht="18" x14ac:dyDescent="0.2">
      <c r="A5" s="135" t="s">
        <v>695</v>
      </c>
      <c r="B5" s="170">
        <f>QPC!AD2</f>
        <v>0</v>
      </c>
      <c r="C5" s="135"/>
      <c r="D5" s="135"/>
      <c r="E5" s="135"/>
      <c r="F5" s="135"/>
      <c r="G5" s="139"/>
      <c r="H5" s="139"/>
      <c r="I5" s="139"/>
      <c r="J5" s="139"/>
      <c r="K5" s="139"/>
    </row>
    <row r="6" spans="1:11" ht="18" x14ac:dyDescent="0.2">
      <c r="A6" s="135" t="s">
        <v>694</v>
      </c>
      <c r="B6" s="170">
        <f>QPC!AB2</f>
        <v>0</v>
      </c>
      <c r="C6" s="135"/>
      <c r="D6" s="135"/>
      <c r="E6" s="135"/>
      <c r="F6" s="135"/>
      <c r="G6" s="139"/>
      <c r="H6" s="139"/>
      <c r="I6" s="139"/>
      <c r="J6" s="139"/>
      <c r="K6" s="139"/>
    </row>
    <row r="7" spans="1:11" ht="18" x14ac:dyDescent="0.2">
      <c r="A7" s="135" t="s">
        <v>693</v>
      </c>
      <c r="B7" s="170"/>
      <c r="C7" s="135"/>
      <c r="D7" s="135"/>
      <c r="E7" s="135"/>
      <c r="F7" s="135"/>
      <c r="G7" s="139"/>
      <c r="H7" s="139"/>
      <c r="I7" s="139"/>
      <c r="J7" s="139"/>
      <c r="K7" s="139"/>
    </row>
    <row r="8" spans="1:11" ht="18" x14ac:dyDescent="0.2">
      <c r="A8" s="135" t="s">
        <v>692</v>
      </c>
      <c r="B8" s="170"/>
      <c r="C8" s="135"/>
      <c r="D8" s="135"/>
      <c r="E8" s="135"/>
      <c r="F8" s="135"/>
      <c r="G8" s="139"/>
      <c r="H8" s="139"/>
      <c r="I8" s="139"/>
      <c r="J8" s="139"/>
      <c r="K8" s="139"/>
    </row>
    <row r="9" spans="1:11" ht="18" x14ac:dyDescent="0.2">
      <c r="A9" s="135" t="s">
        <v>691</v>
      </c>
      <c r="B9" s="170"/>
      <c r="C9" s="135"/>
      <c r="D9" s="135"/>
      <c r="E9" s="135"/>
      <c r="F9" s="135"/>
      <c r="G9" s="139"/>
      <c r="H9" s="139"/>
      <c r="I9" s="139"/>
      <c r="J9" s="139"/>
      <c r="K9" s="139"/>
    </row>
    <row r="10" spans="1:11" ht="18" x14ac:dyDescent="0.2">
      <c r="A10" s="135" t="s">
        <v>690</v>
      </c>
      <c r="B10" s="170"/>
      <c r="C10" s="135"/>
      <c r="D10" s="135"/>
      <c r="E10" s="135"/>
      <c r="F10" s="135"/>
      <c r="G10" s="139"/>
      <c r="H10" s="139"/>
      <c r="I10" s="139"/>
      <c r="J10" s="139"/>
      <c r="K10" s="139"/>
    </row>
    <row r="11" spans="1:11" ht="18" x14ac:dyDescent="0.2">
      <c r="A11" s="135" t="s">
        <v>689</v>
      </c>
      <c r="B11" s="170"/>
      <c r="C11" s="135"/>
      <c r="D11" s="135"/>
      <c r="E11" s="135"/>
      <c r="F11" s="135"/>
      <c r="G11" s="139"/>
      <c r="H11" s="139"/>
      <c r="I11" s="139"/>
      <c r="J11" s="139"/>
      <c r="K11" s="139"/>
    </row>
    <row r="12" spans="1:11" ht="18" x14ac:dyDescent="0.2">
      <c r="A12" s="135" t="s">
        <v>688</v>
      </c>
      <c r="B12" s="170"/>
      <c r="C12" s="135"/>
      <c r="D12" s="135"/>
      <c r="E12" s="135"/>
      <c r="F12" s="135"/>
      <c r="G12" s="139"/>
      <c r="H12" s="139"/>
      <c r="I12" s="139"/>
      <c r="J12" s="139"/>
      <c r="K12" s="139"/>
    </row>
    <row r="13" spans="1:11" ht="18" x14ac:dyDescent="0.2">
      <c r="A13" s="135" t="s">
        <v>687</v>
      </c>
      <c r="B13" s="170"/>
      <c r="C13" s="135"/>
      <c r="D13" s="135"/>
      <c r="E13" s="135"/>
      <c r="F13" s="135"/>
      <c r="G13" s="139"/>
      <c r="H13" s="139"/>
      <c r="I13" s="139"/>
      <c r="J13" s="139"/>
      <c r="K13" s="139"/>
    </row>
    <row r="14" spans="1:11" ht="18" x14ac:dyDescent="0.2">
      <c r="A14" s="135" t="s">
        <v>686</v>
      </c>
      <c r="B14" s="170"/>
      <c r="C14" s="135"/>
      <c r="D14" s="135"/>
      <c r="E14" s="135"/>
      <c r="F14" s="135"/>
      <c r="G14" s="139"/>
      <c r="H14" s="139"/>
      <c r="I14" s="139"/>
      <c r="J14" s="139"/>
      <c r="K14" s="139"/>
    </row>
    <row r="15" spans="1:11" ht="18" x14ac:dyDescent="0.2">
      <c r="A15" s="135" t="s">
        <v>685</v>
      </c>
      <c r="B15" s="170"/>
      <c r="C15" s="135"/>
      <c r="D15" s="135"/>
      <c r="E15" s="135"/>
      <c r="F15" s="135"/>
      <c r="G15" s="139"/>
      <c r="H15" s="139"/>
      <c r="I15" s="139"/>
      <c r="J15" s="139"/>
      <c r="K15" s="139"/>
    </row>
    <row r="16" spans="1:11" ht="18" x14ac:dyDescent="0.2">
      <c r="A16" s="135" t="s">
        <v>684</v>
      </c>
      <c r="B16" s="170"/>
      <c r="C16" s="135"/>
      <c r="D16" s="135"/>
      <c r="E16" s="135"/>
      <c r="F16" s="135"/>
      <c r="G16" s="139"/>
      <c r="H16" s="139"/>
      <c r="I16" s="139"/>
      <c r="J16" s="139"/>
      <c r="K16" s="139"/>
    </row>
    <row r="17" spans="1:11" ht="18" x14ac:dyDescent="0.2">
      <c r="A17" s="135" t="s">
        <v>683</v>
      </c>
      <c r="B17" s="170"/>
      <c r="C17" s="135"/>
      <c r="D17" s="135"/>
      <c r="E17" s="135"/>
      <c r="F17" s="135"/>
      <c r="G17" s="139"/>
      <c r="H17" s="139"/>
      <c r="I17" s="139"/>
      <c r="J17" s="139"/>
      <c r="K17" s="139"/>
    </row>
    <row r="18" spans="1:11" ht="18" x14ac:dyDescent="0.2">
      <c r="A18" s="135" t="s">
        <v>682</v>
      </c>
      <c r="B18" s="170"/>
      <c r="C18" s="135"/>
      <c r="D18" s="135"/>
      <c r="E18" s="135"/>
      <c r="F18" s="135"/>
      <c r="G18" s="139"/>
      <c r="H18" s="139"/>
      <c r="I18" s="139"/>
      <c r="J18" s="139"/>
      <c r="K18" s="139"/>
    </row>
    <row r="19" spans="1:11" ht="18" x14ac:dyDescent="0.2">
      <c r="A19" s="135" t="s">
        <v>681</v>
      </c>
      <c r="B19" s="170"/>
      <c r="C19" s="135"/>
      <c r="D19" s="135"/>
      <c r="E19" s="135"/>
      <c r="F19" s="135"/>
      <c r="G19" s="139"/>
      <c r="H19" s="139"/>
      <c r="I19" s="139"/>
      <c r="J19" s="139"/>
      <c r="K19" s="139"/>
    </row>
    <row r="20" spans="1:11" ht="18" x14ac:dyDescent="0.2">
      <c r="A20" s="135" t="s">
        <v>680</v>
      </c>
      <c r="B20" s="170"/>
      <c r="C20" s="135"/>
      <c r="D20" s="135"/>
      <c r="E20" s="135"/>
      <c r="F20" s="135"/>
      <c r="G20" s="139"/>
      <c r="H20" s="139"/>
      <c r="I20" s="139"/>
      <c r="J20" s="139"/>
      <c r="K20" s="139"/>
    </row>
    <row r="21" spans="1:11" ht="18" x14ac:dyDescent="0.2">
      <c r="A21" s="135" t="s">
        <v>679</v>
      </c>
      <c r="B21" s="170"/>
      <c r="C21" s="135"/>
      <c r="D21" s="135"/>
      <c r="E21" s="135"/>
      <c r="F21" s="135"/>
      <c r="G21" s="139"/>
      <c r="H21" s="139"/>
      <c r="I21" s="139"/>
      <c r="J21" s="139"/>
      <c r="K21" s="139"/>
    </row>
    <row r="22" spans="1:11" ht="18" x14ac:dyDescent="0.2">
      <c r="A22" s="135" t="s">
        <v>678</v>
      </c>
      <c r="B22" s="170"/>
      <c r="C22" s="135"/>
      <c r="D22" s="135"/>
      <c r="E22" s="135"/>
      <c r="F22" s="135"/>
      <c r="G22" s="139"/>
      <c r="H22" s="139"/>
      <c r="I22" s="139"/>
      <c r="J22" s="139"/>
      <c r="K22" s="139"/>
    </row>
    <row r="23" spans="1:11" ht="18" x14ac:dyDescent="0.2">
      <c r="A23" s="135" t="s">
        <v>677</v>
      </c>
      <c r="B23" s="170"/>
      <c r="C23" s="135"/>
      <c r="D23" s="135"/>
      <c r="E23" s="135"/>
      <c r="F23" s="135"/>
      <c r="G23" s="139"/>
      <c r="H23" s="139"/>
      <c r="I23" s="139"/>
      <c r="J23" s="139"/>
      <c r="K23" s="139"/>
    </row>
    <row r="24" spans="1:11" ht="18" x14ac:dyDescent="0.2">
      <c r="A24" s="135" t="s">
        <v>676</v>
      </c>
      <c r="B24" s="170"/>
      <c r="C24" s="135"/>
      <c r="D24" s="135"/>
      <c r="E24" s="135"/>
      <c r="F24" s="135"/>
      <c r="G24" s="139"/>
      <c r="H24" s="139"/>
      <c r="I24" s="139"/>
      <c r="J24" s="139"/>
      <c r="K24" s="139"/>
    </row>
    <row r="25" spans="1:11" ht="18" x14ac:dyDescent="0.2">
      <c r="A25" s="135" t="s">
        <v>675</v>
      </c>
      <c r="B25" s="170">
        <f>QPC!AC2</f>
        <v>0</v>
      </c>
      <c r="C25" s="135"/>
      <c r="D25" s="135"/>
      <c r="E25" s="135"/>
      <c r="F25" s="135"/>
      <c r="G25" s="139"/>
      <c r="H25" s="139"/>
      <c r="I25" s="139"/>
      <c r="J25" s="139"/>
      <c r="K25" s="139"/>
    </row>
    <row r="26" spans="1:11" ht="18" x14ac:dyDescent="0.2">
      <c r="A26" s="135" t="s">
        <v>674</v>
      </c>
      <c r="B26" s="170"/>
      <c r="C26" s="135"/>
      <c r="D26" s="135"/>
      <c r="E26" s="135"/>
      <c r="F26" s="135"/>
      <c r="G26" s="139"/>
      <c r="H26" s="139"/>
      <c r="I26" s="139"/>
      <c r="J26" s="139"/>
      <c r="K26" s="139"/>
    </row>
    <row r="27" spans="1:11" ht="18" x14ac:dyDescent="0.2">
      <c r="A27" s="135" t="s">
        <v>673</v>
      </c>
      <c r="B27" s="170"/>
      <c r="C27" s="135"/>
      <c r="D27" s="135"/>
      <c r="E27" s="135"/>
      <c r="F27" s="135"/>
      <c r="G27" s="139"/>
      <c r="H27" s="139"/>
      <c r="I27" s="139"/>
      <c r="J27" s="139"/>
      <c r="K27" s="139"/>
    </row>
    <row r="28" spans="1:11" ht="18" x14ac:dyDescent="0.2">
      <c r="A28" s="170" t="s">
        <v>672</v>
      </c>
      <c r="B28" s="170"/>
      <c r="C28" s="187"/>
      <c r="D28" s="187"/>
      <c r="E28" s="187"/>
      <c r="F28" s="135"/>
      <c r="G28" s="139"/>
      <c r="H28" s="139"/>
      <c r="I28" s="139"/>
      <c r="J28" s="139"/>
      <c r="K28" s="139"/>
    </row>
    <row r="29" spans="1:11" ht="18" x14ac:dyDescent="0.2">
      <c r="A29" s="170" t="s">
        <v>781</v>
      </c>
      <c r="B29" s="170"/>
      <c r="C29" s="187"/>
      <c r="D29" s="187"/>
      <c r="E29" s="187"/>
      <c r="F29" s="135"/>
      <c r="G29" s="139"/>
      <c r="H29" s="139"/>
      <c r="I29" s="139"/>
      <c r="J29" s="139"/>
      <c r="K29" s="139"/>
    </row>
    <row r="30" spans="1:11" ht="18" x14ac:dyDescent="0.2">
      <c r="A30" s="170" t="s">
        <v>671</v>
      </c>
      <c r="B30" s="170"/>
      <c r="C30" s="188"/>
      <c r="D30" s="188"/>
      <c r="E30" s="188"/>
      <c r="F30" s="135"/>
      <c r="G30" s="139"/>
      <c r="H30" s="139"/>
      <c r="I30" s="139"/>
      <c r="J30" s="139"/>
      <c r="K30" s="139"/>
    </row>
    <row r="31" spans="1:11" ht="18" x14ac:dyDescent="0.2">
      <c r="A31" s="170" t="s">
        <v>670</v>
      </c>
      <c r="B31" s="170"/>
      <c r="C31" s="187"/>
      <c r="D31" s="189"/>
      <c r="E31" s="187"/>
      <c r="F31" s="135"/>
      <c r="G31" s="139"/>
      <c r="H31" s="139"/>
      <c r="I31" s="139"/>
      <c r="J31" s="139"/>
      <c r="K31" s="139"/>
    </row>
    <row r="32" spans="1:11" ht="18" x14ac:dyDescent="0.2">
      <c r="A32" s="190"/>
      <c r="B32" s="191"/>
      <c r="C32" s="190"/>
      <c r="D32" s="190"/>
      <c r="E32" s="190"/>
      <c r="F32" s="190"/>
      <c r="G32" s="139"/>
      <c r="H32" s="139"/>
      <c r="I32" s="139"/>
      <c r="J32" s="139"/>
      <c r="K32" s="139"/>
    </row>
    <row r="33" spans="1:13" ht="18" x14ac:dyDescent="0.2">
      <c r="A33" s="135" t="s">
        <v>669</v>
      </c>
      <c r="B33" s="170"/>
      <c r="C33" s="135"/>
      <c r="D33" s="135"/>
      <c r="E33" s="135"/>
      <c r="F33" s="135"/>
      <c r="G33" s="139"/>
      <c r="H33" s="139"/>
      <c r="I33" s="139"/>
      <c r="J33" s="139"/>
      <c r="K33" s="139"/>
    </row>
    <row r="34" spans="1:13" ht="18" x14ac:dyDescent="0.2">
      <c r="A34" s="135" t="s">
        <v>668</v>
      </c>
      <c r="B34" s="170"/>
      <c r="C34" s="135"/>
      <c r="D34" s="135"/>
      <c r="E34" s="135"/>
      <c r="F34" s="135"/>
      <c r="G34" s="139"/>
      <c r="H34" s="139"/>
      <c r="I34" s="139"/>
      <c r="J34" s="139"/>
      <c r="K34" s="139"/>
    </row>
    <row r="35" spans="1:13" ht="18" x14ac:dyDescent="0.2">
      <c r="A35" s="135" t="s">
        <v>667</v>
      </c>
      <c r="B35" s="170"/>
      <c r="C35" s="135"/>
      <c r="D35" s="135"/>
      <c r="E35" s="135"/>
      <c r="F35" s="135"/>
      <c r="G35" s="139"/>
      <c r="H35" s="139"/>
      <c r="I35" s="139"/>
      <c r="J35" s="139"/>
      <c r="K35" s="139"/>
    </row>
    <row r="36" spans="1:13" ht="18" x14ac:dyDescent="0.2">
      <c r="A36" s="135" t="s">
        <v>666</v>
      </c>
      <c r="B36" s="170"/>
      <c r="C36" s="135"/>
      <c r="D36" s="135"/>
      <c r="E36" s="135"/>
      <c r="F36" s="135"/>
      <c r="G36" s="139"/>
      <c r="H36" s="139"/>
      <c r="I36" s="139"/>
      <c r="J36" s="139"/>
      <c r="K36" s="139"/>
    </row>
    <row r="37" spans="1:13" ht="18" x14ac:dyDescent="0.2">
      <c r="A37" s="190"/>
      <c r="B37" s="191"/>
      <c r="C37" s="190"/>
      <c r="D37" s="190"/>
      <c r="E37" s="190"/>
      <c r="F37" s="190"/>
      <c r="G37" s="139"/>
      <c r="H37" s="139"/>
      <c r="I37" s="139"/>
      <c r="J37" s="139"/>
      <c r="K37" s="139"/>
    </row>
    <row r="38" spans="1:13" ht="37" customHeight="1" x14ac:dyDescent="0.2">
      <c r="A38" s="178" t="s">
        <v>665</v>
      </c>
      <c r="B38" s="170"/>
      <c r="C38" s="135"/>
      <c r="D38" s="135"/>
      <c r="E38" s="135"/>
      <c r="F38" s="135"/>
      <c r="G38" s="139"/>
      <c r="H38" s="139"/>
      <c r="I38" s="139"/>
      <c r="J38" s="139"/>
      <c r="K38" s="139"/>
    </row>
    <row r="39" spans="1:13" ht="42" customHeight="1" x14ac:dyDescent="0.2">
      <c r="A39" s="178" t="s">
        <v>664</v>
      </c>
      <c r="B39" s="170"/>
      <c r="C39" s="135"/>
      <c r="D39" s="135"/>
      <c r="E39" s="135"/>
      <c r="F39" s="135"/>
      <c r="G39" s="139"/>
      <c r="H39" s="139"/>
      <c r="I39" s="139"/>
      <c r="J39" s="139"/>
      <c r="K39" s="139"/>
    </row>
    <row r="40" spans="1:13" ht="58" customHeight="1" x14ac:dyDescent="0.2">
      <c r="A40" s="178" t="s">
        <v>663</v>
      </c>
      <c r="B40" s="170"/>
      <c r="C40" s="135"/>
      <c r="D40" s="135"/>
      <c r="E40" s="135"/>
      <c r="F40" s="135"/>
      <c r="G40" s="139"/>
      <c r="H40" s="139"/>
      <c r="I40" s="139"/>
      <c r="J40" s="139"/>
      <c r="K40" s="139"/>
    </row>
    <row r="41" spans="1:13" ht="18" x14ac:dyDescent="0.2">
      <c r="A41" s="190"/>
      <c r="B41" s="190"/>
      <c r="C41" s="190"/>
      <c r="D41" s="190"/>
      <c r="E41" s="190"/>
      <c r="F41" s="190"/>
      <c r="G41" s="139"/>
      <c r="H41" s="139"/>
      <c r="I41" s="139"/>
      <c r="J41" s="139"/>
      <c r="K41" s="139"/>
    </row>
    <row r="42" spans="1:13" ht="22.5" customHeight="1" x14ac:dyDescent="0.2">
      <c r="A42" s="138" t="s">
        <v>803</v>
      </c>
      <c r="B42" s="276">
        <f>QPC!U2</f>
        <v>0</v>
      </c>
      <c r="C42" s="276"/>
      <c r="D42" s="276"/>
      <c r="E42" s="276"/>
      <c r="F42" s="277"/>
      <c r="G42" s="139"/>
      <c r="H42" s="139"/>
      <c r="I42" s="139"/>
      <c r="J42" s="139"/>
      <c r="K42" s="139"/>
    </row>
    <row r="43" spans="1:13" ht="22.5" customHeight="1" x14ac:dyDescent="0.2">
      <c r="A43" s="138" t="s">
        <v>759</v>
      </c>
      <c r="B43" s="296">
        <f>QPC!V2</f>
        <v>0</v>
      </c>
      <c r="C43" s="296"/>
      <c r="D43" s="296"/>
      <c r="E43" s="296"/>
      <c r="F43" s="297"/>
      <c r="G43" s="139"/>
      <c r="H43" s="139"/>
      <c r="I43" s="139"/>
      <c r="J43" s="139"/>
      <c r="K43" s="139"/>
    </row>
    <row r="44" spans="1:13" ht="18" x14ac:dyDescent="0.2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47"/>
      <c r="M44" s="147"/>
    </row>
    <row r="45" spans="1:13" ht="24" customHeight="1" x14ac:dyDescent="0.15">
      <c r="A45" s="293" t="s">
        <v>662</v>
      </c>
      <c r="B45" s="294"/>
      <c r="C45" s="294"/>
      <c r="D45" s="294"/>
      <c r="E45" s="294"/>
      <c r="F45" s="294"/>
      <c r="G45" s="294"/>
      <c r="H45" s="294"/>
      <c r="I45" s="294"/>
      <c r="J45" s="294"/>
      <c r="K45" s="295"/>
    </row>
    <row r="46" spans="1:13" ht="24" customHeight="1" x14ac:dyDescent="0.15">
      <c r="A46" s="282" t="s">
        <v>760</v>
      </c>
      <c r="B46" s="282"/>
      <c r="C46" s="282"/>
      <c r="D46" s="282"/>
      <c r="E46" s="282"/>
      <c r="F46" s="282"/>
      <c r="G46" s="282"/>
      <c r="H46" s="282"/>
      <c r="I46" s="282"/>
      <c r="J46" s="282"/>
      <c r="K46" s="282"/>
    </row>
    <row r="47" spans="1:13" ht="12" customHeight="1" x14ac:dyDescent="0.15">
      <c r="A47" s="281" t="s">
        <v>761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</row>
    <row r="48" spans="1:13" x14ac:dyDescent="0.15">
      <c r="A48" s="281"/>
      <c r="B48" s="281"/>
      <c r="C48" s="281"/>
      <c r="D48" s="281"/>
      <c r="E48" s="281"/>
      <c r="F48" s="281"/>
      <c r="G48" s="281"/>
      <c r="H48" s="281"/>
      <c r="I48" s="281"/>
      <c r="J48" s="281"/>
      <c r="K48" s="281"/>
    </row>
    <row r="49" spans="1:11" x14ac:dyDescent="0.15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</row>
    <row r="50" spans="1:11" x14ac:dyDescent="0.15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</row>
    <row r="51" spans="1:11" x14ac:dyDescent="0.15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</row>
    <row r="52" spans="1:11" x14ac:dyDescent="0.15">
      <c r="A52" s="282" t="s">
        <v>762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</row>
    <row r="53" spans="1:11" x14ac:dyDescent="0.15">
      <c r="A53" s="282"/>
      <c r="B53" s="282"/>
      <c r="C53" s="282"/>
      <c r="D53" s="282"/>
      <c r="E53" s="282"/>
      <c r="F53" s="282"/>
      <c r="G53" s="282"/>
      <c r="H53" s="282"/>
      <c r="I53" s="282"/>
      <c r="J53" s="282"/>
      <c r="K53" s="282"/>
    </row>
    <row r="54" spans="1:11" x14ac:dyDescent="0.15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</row>
    <row r="55" spans="1:11" x14ac:dyDescent="0.15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</row>
    <row r="56" spans="1:11" x14ac:dyDescent="0.15">
      <c r="A56" s="282"/>
      <c r="B56" s="282"/>
      <c r="C56" s="282"/>
      <c r="D56" s="282"/>
      <c r="E56" s="282"/>
      <c r="F56" s="282"/>
      <c r="G56" s="282"/>
      <c r="H56" s="282"/>
      <c r="I56" s="282"/>
      <c r="J56" s="282"/>
      <c r="K56" s="282"/>
    </row>
    <row r="57" spans="1:11" x14ac:dyDescent="0.15">
      <c r="A57" s="282" t="s">
        <v>763</v>
      </c>
      <c r="B57" s="282"/>
      <c r="C57" s="282"/>
      <c r="D57" s="282"/>
      <c r="E57" s="282"/>
      <c r="F57" s="282"/>
      <c r="G57" s="282"/>
      <c r="H57" s="282"/>
      <c r="I57" s="282"/>
      <c r="J57" s="282"/>
      <c r="K57" s="282"/>
    </row>
    <row r="58" spans="1:11" x14ac:dyDescent="0.15">
      <c r="A58" s="282"/>
      <c r="B58" s="282"/>
      <c r="C58" s="282"/>
      <c r="D58" s="282"/>
      <c r="E58" s="282"/>
      <c r="F58" s="282"/>
      <c r="G58" s="282"/>
      <c r="H58" s="282"/>
      <c r="I58" s="282"/>
      <c r="J58" s="282"/>
      <c r="K58" s="282"/>
    </row>
    <row r="59" spans="1:11" x14ac:dyDescent="0.15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</row>
    <row r="60" spans="1:11" x14ac:dyDescent="0.15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</row>
    <row r="61" spans="1:11" x14ac:dyDescent="0.15">
      <c r="A61" s="282"/>
      <c r="B61" s="282"/>
      <c r="C61" s="282"/>
      <c r="D61" s="282"/>
      <c r="E61" s="282"/>
      <c r="F61" s="282"/>
      <c r="G61" s="282"/>
      <c r="H61" s="282"/>
      <c r="I61" s="282"/>
      <c r="J61" s="282"/>
      <c r="K61" s="282"/>
    </row>
    <row r="62" spans="1:11" x14ac:dyDescent="0.15">
      <c r="A62" s="282" t="s">
        <v>764</v>
      </c>
      <c r="B62" s="282"/>
      <c r="C62" s="282"/>
      <c r="D62" s="282"/>
      <c r="E62" s="282"/>
      <c r="F62" s="282"/>
      <c r="G62" s="282"/>
      <c r="H62" s="282"/>
      <c r="I62" s="282"/>
      <c r="J62" s="282"/>
      <c r="K62" s="282"/>
    </row>
    <row r="63" spans="1:11" x14ac:dyDescent="0.15">
      <c r="A63" s="282"/>
      <c r="B63" s="282"/>
      <c r="C63" s="282"/>
      <c r="D63" s="282"/>
      <c r="E63" s="282"/>
      <c r="F63" s="282"/>
      <c r="G63" s="282"/>
      <c r="H63" s="282"/>
      <c r="I63" s="282"/>
      <c r="J63" s="282"/>
      <c r="K63" s="282"/>
    </row>
    <row r="64" spans="1:11" x14ac:dyDescent="0.15">
      <c r="A64" s="282"/>
      <c r="B64" s="282"/>
      <c r="C64" s="282"/>
      <c r="D64" s="282"/>
      <c r="E64" s="282"/>
      <c r="F64" s="282"/>
      <c r="G64" s="282"/>
      <c r="H64" s="282"/>
      <c r="I64" s="282"/>
      <c r="J64" s="282"/>
      <c r="K64" s="282"/>
    </row>
    <row r="65" spans="1:11" x14ac:dyDescent="0.15">
      <c r="A65" s="282"/>
      <c r="B65" s="282"/>
      <c r="C65" s="282"/>
      <c r="D65" s="282"/>
      <c r="E65" s="282"/>
      <c r="F65" s="282"/>
      <c r="G65" s="282"/>
      <c r="H65" s="282"/>
      <c r="I65" s="282"/>
      <c r="J65" s="282"/>
      <c r="K65" s="282"/>
    </row>
    <row r="66" spans="1:11" x14ac:dyDescent="0.15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</row>
    <row r="67" spans="1:11" x14ac:dyDescent="0.15">
      <c r="A67" s="282" t="s">
        <v>758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</row>
    <row r="68" spans="1:11" x14ac:dyDescent="0.15">
      <c r="A68" s="282"/>
      <c r="B68" s="282"/>
      <c r="C68" s="282"/>
      <c r="D68" s="282"/>
      <c r="E68" s="282"/>
      <c r="F68" s="282"/>
      <c r="G68" s="282"/>
      <c r="H68" s="282"/>
      <c r="I68" s="282"/>
      <c r="J68" s="282"/>
      <c r="K68" s="282"/>
    </row>
    <row r="69" spans="1:11" x14ac:dyDescent="0.15">
      <c r="A69" s="282"/>
      <c r="B69" s="282"/>
      <c r="C69" s="282"/>
      <c r="D69" s="282"/>
      <c r="E69" s="282"/>
      <c r="F69" s="282"/>
      <c r="G69" s="282"/>
      <c r="H69" s="282"/>
      <c r="I69" s="282"/>
      <c r="J69" s="282"/>
      <c r="K69" s="282"/>
    </row>
    <row r="70" spans="1:11" x14ac:dyDescent="0.15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</row>
    <row r="71" spans="1:11" x14ac:dyDescent="0.15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</row>
    <row r="72" spans="1:11" x14ac:dyDescent="0.15">
      <c r="A72" s="282" t="s">
        <v>550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</row>
    <row r="73" spans="1:11" x14ac:dyDescent="0.15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</row>
    <row r="74" spans="1:11" x14ac:dyDescent="0.15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</row>
    <row r="75" spans="1:11" x14ac:dyDescent="0.15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</row>
    <row r="76" spans="1:11" x14ac:dyDescent="0.15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</row>
    <row r="77" spans="1:11" x14ac:dyDescent="0.15">
      <c r="A77" s="282" t="s">
        <v>661</v>
      </c>
      <c r="B77" s="282"/>
      <c r="C77" s="282"/>
      <c r="D77" s="282"/>
      <c r="E77" s="282"/>
      <c r="F77" s="282"/>
      <c r="G77" s="282"/>
      <c r="H77" s="282"/>
      <c r="I77" s="282"/>
      <c r="J77" s="282"/>
      <c r="K77" s="282"/>
    </row>
    <row r="78" spans="1:11" x14ac:dyDescent="0.15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</row>
    <row r="79" spans="1:11" x14ac:dyDescent="0.15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</row>
    <row r="80" spans="1:11" x14ac:dyDescent="0.15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</row>
    <row r="81" spans="1:11" x14ac:dyDescent="0.15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</row>
    <row r="82" spans="1:11" x14ac:dyDescent="0.15">
      <c r="A82" s="282" t="s">
        <v>765</v>
      </c>
      <c r="B82" s="282"/>
      <c r="C82" s="282"/>
      <c r="D82" s="282"/>
      <c r="E82" s="282"/>
      <c r="F82" s="282"/>
      <c r="G82" s="282"/>
      <c r="H82" s="282"/>
      <c r="I82" s="282"/>
      <c r="J82" s="282"/>
      <c r="K82" s="282"/>
    </row>
    <row r="83" spans="1:11" x14ac:dyDescent="0.15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</row>
    <row r="84" spans="1:11" x14ac:dyDescent="0.15">
      <c r="A84" s="283" t="s">
        <v>729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5"/>
    </row>
    <row r="85" spans="1:11" x14ac:dyDescent="0.15">
      <c r="A85" s="286"/>
      <c r="B85" s="287"/>
      <c r="C85" s="287"/>
      <c r="D85" s="287"/>
      <c r="E85" s="287"/>
      <c r="F85" s="287"/>
      <c r="G85" s="287"/>
      <c r="H85" s="287"/>
      <c r="I85" s="287"/>
      <c r="J85" s="287"/>
      <c r="K85" s="288"/>
    </row>
    <row r="86" spans="1:11" x14ac:dyDescent="0.15">
      <c r="A86" s="289"/>
      <c r="B86" s="290"/>
      <c r="C86" s="290"/>
      <c r="D86" s="290"/>
      <c r="E86" s="290"/>
      <c r="F86" s="290"/>
      <c r="G86" s="290"/>
      <c r="H86" s="290"/>
      <c r="I86" s="290"/>
      <c r="J86" s="290"/>
      <c r="K86" s="291"/>
    </row>
    <row r="87" spans="1:11" ht="18" x14ac:dyDescent="0.2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</row>
    <row r="88" spans="1:11" ht="18" x14ac:dyDescent="0.2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</row>
    <row r="89" spans="1:11" ht="18" x14ac:dyDescent="0.2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</row>
    <row r="90" spans="1:11" ht="18" x14ac:dyDescent="0.2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</row>
    <row r="91" spans="1:11" ht="18" x14ac:dyDescent="0.2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</row>
    <row r="92" spans="1:11" ht="18" x14ac:dyDescent="0.2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</row>
    <row r="93" spans="1:11" ht="18" x14ac:dyDescent="0.2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</row>
  </sheetData>
  <mergeCells count="14">
    <mergeCell ref="A47:K51"/>
    <mergeCell ref="A62:K66"/>
    <mergeCell ref="A67:K71"/>
    <mergeCell ref="A84:K86"/>
    <mergeCell ref="A1:F1"/>
    <mergeCell ref="A72:K76"/>
    <mergeCell ref="A77:K81"/>
    <mergeCell ref="A82:K83"/>
    <mergeCell ref="A46:K46"/>
    <mergeCell ref="A45:K45"/>
    <mergeCell ref="A57:K61"/>
    <mergeCell ref="A52:K56"/>
    <mergeCell ref="B42:F42"/>
    <mergeCell ref="B43:F43"/>
  </mergeCells>
  <pageMargins left="0.78740157499999996" right="0.78740157499999996" top="0.984251969" bottom="0.984251969" header="0.49212598499999999" footer="0.49212598499999999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B5:M23"/>
  <sheetViews>
    <sheetView showGridLines="0" topLeftCell="A9" zoomScale="125" zoomScaleNormal="90" zoomScalePageLayoutView="90" workbookViewId="0">
      <selection activeCell="E21" sqref="E21"/>
    </sheetView>
  </sheetViews>
  <sheetFormatPr baseColWidth="10" defaultColWidth="11" defaultRowHeight="15" x14ac:dyDescent="0.2"/>
  <cols>
    <col min="1" max="1" width="4.5" customWidth="1"/>
    <col min="2" max="2" width="15.1640625" customWidth="1"/>
    <col min="12" max="12" width="24.5" customWidth="1"/>
  </cols>
  <sheetData>
    <row r="5" spans="2:13" ht="18" x14ac:dyDescent="0.2">
      <c r="B5" s="98"/>
      <c r="C5" s="98"/>
      <c r="D5" s="98"/>
      <c r="E5" s="98"/>
      <c r="F5" s="98"/>
      <c r="G5" s="193"/>
      <c r="H5" s="193"/>
      <c r="I5" s="193"/>
      <c r="J5" s="98"/>
      <c r="K5" s="98"/>
      <c r="L5" s="98"/>
    </row>
    <row r="6" spans="2:13" ht="18" x14ac:dyDescent="0.2">
      <c r="B6" s="98"/>
      <c r="C6" s="98"/>
      <c r="D6" s="98"/>
      <c r="E6" s="98"/>
      <c r="F6" s="98"/>
      <c r="G6" s="194"/>
      <c r="H6" s="195" t="s">
        <v>547</v>
      </c>
      <c r="I6" s="195"/>
      <c r="J6" s="98"/>
      <c r="K6" s="98"/>
      <c r="L6" s="98"/>
    </row>
    <row r="7" spans="2:13" ht="18" x14ac:dyDescent="0.2">
      <c r="B7" s="98"/>
      <c r="C7" s="98"/>
      <c r="D7" s="98"/>
      <c r="E7" s="98"/>
      <c r="F7" s="98"/>
      <c r="G7" s="194"/>
      <c r="H7" s="195" t="s">
        <v>549</v>
      </c>
      <c r="I7" s="195"/>
      <c r="J7" s="98"/>
      <c r="K7" s="98"/>
      <c r="L7" s="98"/>
    </row>
    <row r="8" spans="2:13" ht="18" x14ac:dyDescent="0.2">
      <c r="B8" s="98"/>
      <c r="C8" s="98"/>
      <c r="D8" s="98"/>
      <c r="E8" s="98"/>
      <c r="F8" s="98"/>
      <c r="G8" s="194"/>
      <c r="H8" s="196" t="s">
        <v>548</v>
      </c>
      <c r="I8" s="196"/>
      <c r="J8" s="98"/>
      <c r="K8" s="98"/>
      <c r="L8" s="98"/>
    </row>
    <row r="9" spans="2:13" ht="16" thickBot="1" x14ac:dyDescent="0.25">
      <c r="B9" s="197"/>
      <c r="C9" s="197"/>
      <c r="D9" s="98"/>
      <c r="E9" s="98"/>
      <c r="F9" s="98"/>
      <c r="G9" s="98"/>
      <c r="H9" s="98"/>
      <c r="I9" s="98"/>
      <c r="J9" s="98"/>
      <c r="K9" s="98"/>
      <c r="L9" s="98"/>
    </row>
    <row r="10" spans="2:13" ht="19" thickBot="1" x14ac:dyDescent="0.25">
      <c r="B10" s="298" t="s">
        <v>728</v>
      </c>
      <c r="C10" s="299"/>
      <c r="D10" s="300"/>
      <c r="E10" s="301"/>
      <c r="F10" s="201"/>
      <c r="G10" s="193"/>
      <c r="H10" s="193"/>
      <c r="I10" s="193"/>
      <c r="J10" s="193"/>
      <c r="K10" s="193"/>
      <c r="L10" s="202" t="s">
        <v>766</v>
      </c>
      <c r="M10" s="198"/>
    </row>
    <row r="11" spans="2:13" ht="19" thickBot="1" x14ac:dyDescent="0.25">
      <c r="B11" s="203" t="s">
        <v>8</v>
      </c>
      <c r="C11" s="204">
        <v>1</v>
      </c>
      <c r="D11" s="205">
        <v>2</v>
      </c>
      <c r="E11" s="206">
        <v>3</v>
      </c>
      <c r="F11" s="204">
        <v>4</v>
      </c>
      <c r="G11" s="204">
        <v>5</v>
      </c>
      <c r="H11" s="204">
        <v>6</v>
      </c>
      <c r="I11" s="204">
        <v>7</v>
      </c>
      <c r="J11" s="204">
        <v>8</v>
      </c>
      <c r="K11" s="204">
        <v>9</v>
      </c>
      <c r="L11" s="207" t="s">
        <v>414</v>
      </c>
      <c r="M11" s="198"/>
    </row>
    <row r="12" spans="2:13" ht="20" thickBot="1" x14ac:dyDescent="0.25">
      <c r="B12" s="208" t="s">
        <v>409</v>
      </c>
      <c r="C12" s="209"/>
      <c r="D12" s="210"/>
      <c r="E12" s="209"/>
      <c r="F12" s="211"/>
      <c r="G12" s="193"/>
      <c r="H12" s="212"/>
      <c r="I12" s="193"/>
      <c r="J12" s="212"/>
      <c r="K12" s="212"/>
      <c r="L12" s="213"/>
      <c r="M12" s="199"/>
    </row>
    <row r="13" spans="2:13" ht="20" thickBot="1" x14ac:dyDescent="0.25">
      <c r="B13" s="214" t="s">
        <v>410</v>
      </c>
      <c r="C13" s="215" t="str">
        <f>Cálculos!K4</f>
        <v>Aguarde</v>
      </c>
      <c r="D13" s="216"/>
      <c r="E13" s="217"/>
      <c r="F13" s="217"/>
      <c r="G13" s="218"/>
      <c r="H13" s="217"/>
      <c r="I13" s="216"/>
      <c r="J13" s="217"/>
      <c r="K13" s="217"/>
      <c r="L13" s="219"/>
      <c r="M13" s="199"/>
    </row>
    <row r="14" spans="2:13" ht="20" thickBot="1" x14ac:dyDescent="0.25">
      <c r="B14" s="214" t="s">
        <v>411</v>
      </c>
      <c r="C14" s="209"/>
      <c r="D14" s="219"/>
      <c r="E14" s="209"/>
      <c r="F14" s="209"/>
      <c r="G14" s="210"/>
      <c r="H14" s="209"/>
      <c r="I14" s="210"/>
      <c r="J14" s="209"/>
      <c r="K14" s="209"/>
      <c r="L14" s="220"/>
      <c r="M14" s="199"/>
    </row>
    <row r="15" spans="2:13" ht="20" thickBot="1" x14ac:dyDescent="0.25">
      <c r="B15" s="221" t="s">
        <v>412</v>
      </c>
      <c r="C15" s="211"/>
      <c r="D15" s="222"/>
      <c r="E15" s="211"/>
      <c r="F15" s="211"/>
      <c r="G15" s="222"/>
      <c r="H15" s="211"/>
      <c r="I15" s="202"/>
      <c r="J15" s="209"/>
      <c r="K15" s="209"/>
      <c r="L15" s="220"/>
      <c r="M15" s="199"/>
    </row>
    <row r="16" spans="2:13" ht="20" thickBot="1" x14ac:dyDescent="0.25">
      <c r="B16" s="221" t="s">
        <v>413</v>
      </c>
      <c r="C16" s="209"/>
      <c r="D16" s="210"/>
      <c r="E16" s="209"/>
      <c r="F16" s="209"/>
      <c r="G16" s="210"/>
      <c r="H16" s="209"/>
      <c r="I16" s="210"/>
      <c r="J16" s="209"/>
      <c r="K16" s="209"/>
      <c r="L16" s="220"/>
      <c r="M16" s="199"/>
    </row>
    <row r="17" spans="2:13" ht="20" thickBot="1" x14ac:dyDescent="0.25">
      <c r="B17" s="221" t="s">
        <v>553</v>
      </c>
      <c r="C17" s="209"/>
      <c r="D17" s="210"/>
      <c r="E17" s="209"/>
      <c r="F17" s="209"/>
      <c r="G17" s="210"/>
      <c r="H17" s="209"/>
      <c r="I17" s="210"/>
      <c r="J17" s="209"/>
      <c r="K17" s="209"/>
      <c r="L17" s="220"/>
      <c r="M17" s="199"/>
    </row>
    <row r="18" spans="2:13" ht="39" thickBot="1" x14ac:dyDescent="0.25">
      <c r="B18" s="221" t="s">
        <v>555</v>
      </c>
      <c r="C18" s="209"/>
      <c r="D18" s="210"/>
      <c r="E18" s="209"/>
      <c r="F18" s="209"/>
      <c r="G18" s="210"/>
      <c r="H18" s="209"/>
      <c r="I18" s="210"/>
      <c r="J18" s="209"/>
      <c r="K18" s="209"/>
      <c r="L18" s="220"/>
      <c r="M18" s="199"/>
    </row>
    <row r="19" spans="2:13" ht="39" thickBot="1" x14ac:dyDescent="0.25">
      <c r="B19" s="208" t="s">
        <v>556</v>
      </c>
      <c r="C19" s="209"/>
      <c r="D19" s="210"/>
      <c r="E19" s="209"/>
      <c r="F19" s="209"/>
      <c r="G19" s="210"/>
      <c r="H19" s="209"/>
      <c r="I19" s="210"/>
      <c r="J19" s="209"/>
      <c r="K19" s="209"/>
      <c r="L19" s="220"/>
      <c r="M19" s="199"/>
    </row>
    <row r="20" spans="2:13" ht="39" thickBot="1" x14ac:dyDescent="0.25">
      <c r="B20" s="214" t="s">
        <v>554</v>
      </c>
      <c r="C20" s="212"/>
      <c r="D20" s="193"/>
      <c r="E20" s="212"/>
      <c r="F20" s="212"/>
      <c r="G20" s="193"/>
      <c r="H20" s="212"/>
      <c r="I20" s="193"/>
      <c r="J20" s="212"/>
      <c r="K20" s="212"/>
      <c r="L20" s="213"/>
      <c r="M20" s="199"/>
    </row>
    <row r="21" spans="2:13" ht="20" thickBot="1" x14ac:dyDescent="0.25">
      <c r="B21" s="214" t="s">
        <v>557</v>
      </c>
      <c r="C21" s="209"/>
      <c r="D21" s="210"/>
      <c r="E21" s="209"/>
      <c r="F21" s="209"/>
      <c r="G21" s="210"/>
      <c r="H21" s="209"/>
      <c r="I21" s="210"/>
      <c r="J21" s="209"/>
      <c r="K21" s="209"/>
      <c r="L21" s="220"/>
      <c r="M21" s="199"/>
    </row>
    <row r="22" spans="2:13" ht="58" thickBot="1" x14ac:dyDescent="0.25">
      <c r="B22" s="221" t="s">
        <v>558</v>
      </c>
      <c r="C22" s="211"/>
      <c r="D22" s="193"/>
      <c r="E22" s="211"/>
      <c r="F22" s="209"/>
      <c r="G22" s="209"/>
      <c r="H22" s="211"/>
      <c r="I22" s="209"/>
      <c r="J22" s="211"/>
      <c r="K22" s="211"/>
      <c r="L22" s="223"/>
      <c r="M22" s="199"/>
    </row>
    <row r="23" spans="2:13" x14ac:dyDescent="0.2">
      <c r="D23" s="200"/>
    </row>
  </sheetData>
  <mergeCells count="2">
    <mergeCell ref="B10:C10"/>
    <mergeCell ref="D10:E10"/>
  </mergeCells>
  <phoneticPr fontId="19" type="noConversion"/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F2422B3-BA20-2648-84DF-ED24F1B9201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L12</xm:sqref>
        </x14:conditionalFormatting>
        <x14:conditionalFormatting xmlns:xm="http://schemas.microsoft.com/office/excel/2006/main">
          <x14:cfRule type="iconSet" priority="2" id="{2AB832E4-5554-5B42-A494-D0FB41A0704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L13</xm:sqref>
        </x14:conditionalFormatting>
        <x14:conditionalFormatting xmlns:xm="http://schemas.microsoft.com/office/excel/2006/main">
          <x14:cfRule type="iconSet" priority="3" id="{64DEB563-3F53-C94E-A47F-D22E1969CF4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4" id="{41526681-E758-8B48-BD53-9FD053BD151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L15</xm:sqref>
        </x14:conditionalFormatting>
        <x14:conditionalFormatting xmlns:xm="http://schemas.microsoft.com/office/excel/2006/main">
          <x14:cfRule type="iconSet" priority="5" id="{6BBE3033-665A-8A4D-B9D8-52C121B9B5C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L16</xm:sqref>
        </x14:conditionalFormatting>
        <x14:conditionalFormatting xmlns:xm="http://schemas.microsoft.com/office/excel/2006/main">
          <x14:cfRule type="iconSet" priority="6" id="{8BD94F56-3F0A-0C44-B625-CE476F9A77F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L17</xm:sqref>
        </x14:conditionalFormatting>
        <x14:conditionalFormatting xmlns:xm="http://schemas.microsoft.com/office/excel/2006/main">
          <x14:cfRule type="iconSet" priority="7" id="{C6D676D6-3D2C-C84C-8466-C3D8782A3A5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L18</xm:sqref>
        </x14:conditionalFormatting>
        <x14:conditionalFormatting xmlns:xm="http://schemas.microsoft.com/office/excel/2006/main">
          <x14:cfRule type="iconSet" priority="8" id="{AED29313-CD66-894A-AFB1-74B54B333AD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L19</xm:sqref>
        </x14:conditionalFormatting>
        <x14:conditionalFormatting xmlns:xm="http://schemas.microsoft.com/office/excel/2006/main">
          <x14:cfRule type="iconSet" priority="9" id="{E3C371F3-2CEA-7D4B-B212-073002EE812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L20</xm:sqref>
        </x14:conditionalFormatting>
        <x14:conditionalFormatting xmlns:xm="http://schemas.microsoft.com/office/excel/2006/main">
          <x14:cfRule type="iconSet" priority="10" id="{FAC82582-2FB8-5F4B-9D04-E94DB4D631B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L21</xm:sqref>
        </x14:conditionalFormatting>
        <x14:conditionalFormatting xmlns:xm="http://schemas.microsoft.com/office/excel/2006/main">
          <x14:cfRule type="iconSet" priority="11" id="{2E2CC50D-0862-3243-8430-AE9A4315DA1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Gray" iconId="0"/>
              <x14:cfIcon iconSet="3ArrowsGray" iconId="1"/>
              <x14:cfIcon iconSet="3ArrowsGray" iconId="2"/>
            </x14:iconSet>
          </x14:cfRule>
          <xm:sqref>L22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K105"/>
  <sheetViews>
    <sheetView showGridLines="0" zoomScale="170" zoomScaleNormal="170" zoomScalePageLayoutView="170" workbookViewId="0">
      <selection activeCell="O7" sqref="O7"/>
    </sheetView>
  </sheetViews>
  <sheetFormatPr baseColWidth="10" defaultColWidth="8.83203125" defaultRowHeight="15" x14ac:dyDescent="0.2"/>
  <cols>
    <col min="1" max="1" width="3.1640625" style="104" customWidth="1"/>
    <col min="2" max="2" width="1.6640625" style="104" customWidth="1"/>
    <col min="3" max="3" width="15.6640625" style="104" customWidth="1"/>
    <col min="4" max="4" width="1.6640625" style="104" customWidth="1"/>
    <col min="5" max="5" width="15.6640625" style="104" customWidth="1"/>
    <col min="6" max="6" width="1.6640625" style="104" customWidth="1"/>
    <col min="7" max="7" width="15.6640625" style="104" customWidth="1"/>
    <col min="8" max="8" width="1.6640625" style="104" customWidth="1"/>
    <col min="9" max="9" width="15.6640625" style="104" customWidth="1"/>
    <col min="10" max="10" width="1.6640625" style="104" customWidth="1"/>
    <col min="11" max="11" width="15.6640625" style="104" customWidth="1"/>
    <col min="12" max="12" width="1.6640625" style="104" customWidth="1"/>
    <col min="13" max="13" width="15.6640625" style="104" customWidth="1"/>
    <col min="14" max="14" width="1.6640625" style="104" customWidth="1"/>
    <col min="15" max="16" width="15.6640625" style="104" customWidth="1"/>
    <col min="18" max="18" width="21.1640625" bestFit="1" customWidth="1"/>
    <col min="19" max="19" width="10.5" bestFit="1" customWidth="1"/>
    <col min="23" max="23" width="10.5" bestFit="1" customWidth="1"/>
    <col min="24" max="24" width="10.33203125" bestFit="1" customWidth="1"/>
    <col min="31" max="34" width="29.6640625" customWidth="1"/>
  </cols>
  <sheetData>
    <row r="1" spans="1:16" ht="18" customHeight="1" thickBot="1" x14ac:dyDescent="0.25">
      <c r="A1" s="99"/>
      <c r="B1" s="123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123"/>
      <c r="O1" s="99"/>
      <c r="P1" s="99"/>
    </row>
    <row r="2" spans="1:16" ht="18" customHeight="1" thickBot="1" x14ac:dyDescent="0.25">
      <c r="A2" s="99"/>
      <c r="C2" s="306" t="e">
        <f>IF(#REF!="","",#REF!)</f>
        <v>#REF!</v>
      </c>
      <c r="D2" s="307"/>
      <c r="E2" s="307"/>
      <c r="F2" s="307"/>
      <c r="G2" s="307"/>
      <c r="H2" s="307"/>
      <c r="I2" s="307"/>
      <c r="J2" s="307"/>
      <c r="K2" s="307"/>
      <c r="L2" s="307"/>
      <c r="M2" s="308"/>
      <c r="N2" s="122"/>
      <c r="O2" s="99"/>
      <c r="P2" s="99"/>
    </row>
    <row r="3" spans="1:16" ht="7.5" customHeight="1" x14ac:dyDescent="0.2">
      <c r="A3" s="99"/>
      <c r="O3" s="99"/>
      <c r="P3" s="99"/>
    </row>
    <row r="4" spans="1:16" x14ac:dyDescent="0.2">
      <c r="A4" s="99"/>
      <c r="B4" s="106"/>
      <c r="C4" s="124">
        <f>'Informações gerais'!B4</f>
        <v>0</v>
      </c>
      <c r="E4" s="105">
        <f>Antropometria!C12</f>
        <v>0</v>
      </c>
      <c r="G4" s="105">
        <f>Antropometria!D10</f>
        <v>0</v>
      </c>
      <c r="I4" s="105" t="s">
        <v>420</v>
      </c>
      <c r="K4" s="128" t="str">
        <f>IFERROR(E4/((G4/100)^2),"Aguarde")</f>
        <v>Aguarde</v>
      </c>
      <c r="M4" s="124" t="str">
        <f>IF(K4="Aguarde","Aguarde",IF(K4&lt;18.5,"Baixo Peso",IF(K4&lt;24.9,"Eutrofia",IF(K4&lt;29.9,"Sobrepeso","Obesidade"))))</f>
        <v>Aguarde</v>
      </c>
      <c r="N4" s="106"/>
      <c r="O4" s="99"/>
      <c r="P4" s="99"/>
    </row>
    <row r="5" spans="1:16" ht="32" x14ac:dyDescent="0.2">
      <c r="A5" s="99"/>
      <c r="B5" s="106"/>
      <c r="C5" s="109" t="s">
        <v>415</v>
      </c>
      <c r="D5" s="110"/>
      <c r="E5" s="109" t="s">
        <v>416</v>
      </c>
      <c r="F5" s="110"/>
      <c r="G5" s="109" t="s">
        <v>417</v>
      </c>
      <c r="H5" s="110"/>
      <c r="I5" s="109" t="s">
        <v>427</v>
      </c>
      <c r="K5" s="109" t="s">
        <v>418</v>
      </c>
      <c r="L5" s="110"/>
      <c r="M5" s="109" t="s">
        <v>419</v>
      </c>
      <c r="N5" s="106"/>
      <c r="O5" s="99"/>
      <c r="P5" s="99"/>
    </row>
    <row r="6" spans="1:16" ht="7.5" customHeight="1" x14ac:dyDescent="0.2">
      <c r="A6" s="99"/>
      <c r="O6" s="99"/>
      <c r="P6" s="99"/>
    </row>
    <row r="7" spans="1:16" x14ac:dyDescent="0.2">
      <c r="A7" s="99"/>
      <c r="C7" s="125" t="e">
        <f>IF(#REF!="","Aguarde",VLOOKUP(Cálculos!I4,Cálculos!AF101:AG105,2,FALSE))</f>
        <v>#REF!</v>
      </c>
      <c r="E7" s="125">
        <f>$G$13</f>
        <v>1912.75</v>
      </c>
      <c r="G7" s="126">
        <f>(I13*4)/E7</f>
        <v>0.18911514834662135</v>
      </c>
      <c r="I7" s="126">
        <f>(K13*4)/E7</f>
        <v>0.26831525290811659</v>
      </c>
      <c r="K7" s="126">
        <f>(M13*9)/E7</f>
        <v>0.54256959874526201</v>
      </c>
      <c r="M7" s="127" t="e">
        <f>I13/E4</f>
        <v>#DIV/0!</v>
      </c>
      <c r="O7" s="99"/>
      <c r="P7" s="99"/>
    </row>
    <row r="8" spans="1:16" ht="32" x14ac:dyDescent="0.2">
      <c r="A8" s="99"/>
      <c r="C8" s="109" t="s">
        <v>431</v>
      </c>
      <c r="D8" s="110"/>
      <c r="E8" s="109" t="s">
        <v>432</v>
      </c>
      <c r="G8" s="109" t="s">
        <v>433</v>
      </c>
      <c r="H8" s="110"/>
      <c r="I8" s="109" t="s">
        <v>434</v>
      </c>
      <c r="J8" s="110"/>
      <c r="K8" s="109" t="s">
        <v>435</v>
      </c>
      <c r="M8" s="109" t="s">
        <v>439</v>
      </c>
      <c r="O8" s="99"/>
      <c r="P8" s="99"/>
    </row>
    <row r="9" spans="1:16" ht="7.5" customHeight="1" thickBot="1" x14ac:dyDescent="0.25">
      <c r="A9" s="99"/>
      <c r="O9" s="99"/>
      <c r="P9" s="99"/>
    </row>
    <row r="10" spans="1:16" ht="16" thickBot="1" x14ac:dyDescent="0.25">
      <c r="A10" s="99"/>
      <c r="C10" s="303" t="s">
        <v>436</v>
      </c>
      <c r="D10" s="304"/>
      <c r="E10" s="304"/>
      <c r="F10" s="304"/>
      <c r="G10" s="304"/>
      <c r="H10" s="304"/>
      <c r="I10" s="304"/>
      <c r="J10" s="304"/>
      <c r="K10" s="304"/>
      <c r="L10" s="304"/>
      <c r="M10" s="305"/>
      <c r="O10" s="99"/>
      <c r="P10" s="99"/>
    </row>
    <row r="11" spans="1:16" ht="7.5" customHeight="1" thickBot="1" x14ac:dyDescent="0.25">
      <c r="A11" s="99"/>
      <c r="O11" s="99"/>
      <c r="P11" s="99"/>
    </row>
    <row r="12" spans="1:16" x14ac:dyDescent="0.2">
      <c r="A12" s="99"/>
      <c r="C12" s="112" t="s">
        <v>27</v>
      </c>
      <c r="D12" s="114"/>
      <c r="E12" s="115" t="s">
        <v>28</v>
      </c>
      <c r="F12" s="114"/>
      <c r="G12" s="115" t="s">
        <v>29</v>
      </c>
      <c r="H12" s="114"/>
      <c r="I12" s="115" t="s">
        <v>30</v>
      </c>
      <c r="J12" s="114"/>
      <c r="K12" s="115" t="s">
        <v>31</v>
      </c>
      <c r="L12" s="114"/>
      <c r="M12" s="116" t="s">
        <v>32</v>
      </c>
      <c r="O12" s="99"/>
      <c r="P12" s="99"/>
    </row>
    <row r="13" spans="1:16" ht="16" thickBot="1" x14ac:dyDescent="0.25">
      <c r="A13" s="99"/>
      <c r="C13" s="118" t="s">
        <v>437</v>
      </c>
      <c r="D13" s="119"/>
      <c r="E13" s="131">
        <f>SUM(E16:E26)</f>
        <v>21</v>
      </c>
      <c r="F13" s="131"/>
      <c r="G13" s="131">
        <f>SUM(G16:G26)</f>
        <v>1912.75</v>
      </c>
      <c r="H13" s="131"/>
      <c r="I13" s="131">
        <f>SUM(I16:I26)</f>
        <v>90.432500000000005</v>
      </c>
      <c r="J13" s="131"/>
      <c r="K13" s="131">
        <f>SUM(K16:K26)</f>
        <v>128.30500000000001</v>
      </c>
      <c r="L13" s="131"/>
      <c r="M13" s="132">
        <f>SUM(M16:M26)</f>
        <v>115.31111111111112</v>
      </c>
      <c r="O13" s="99"/>
      <c r="P13" s="99"/>
    </row>
    <row r="14" spans="1:16" ht="7.5" customHeight="1" thickBot="1" x14ac:dyDescent="0.25">
      <c r="A14" s="99"/>
      <c r="O14" s="99"/>
      <c r="P14" s="99"/>
    </row>
    <row r="15" spans="1:16" x14ac:dyDescent="0.2">
      <c r="A15" s="99"/>
      <c r="C15" s="112" t="s">
        <v>27</v>
      </c>
      <c r="D15" s="114"/>
      <c r="E15" s="115" t="s">
        <v>28</v>
      </c>
      <c r="F15" s="114"/>
      <c r="G15" s="115" t="s">
        <v>29</v>
      </c>
      <c r="H15" s="114"/>
      <c r="I15" s="115" t="s">
        <v>30</v>
      </c>
      <c r="J15" s="114"/>
      <c r="K15" s="115" t="s">
        <v>31</v>
      </c>
      <c r="L15" s="114"/>
      <c r="M15" s="116" t="s">
        <v>32</v>
      </c>
      <c r="O15" s="99"/>
      <c r="P15" s="99"/>
    </row>
    <row r="16" spans="1:16" x14ac:dyDescent="0.2">
      <c r="A16" s="99"/>
      <c r="C16" s="113" t="s">
        <v>33</v>
      </c>
      <c r="D16" s="117"/>
      <c r="E16" s="120">
        <v>2</v>
      </c>
      <c r="F16" s="120"/>
      <c r="G16" s="129">
        <f>SUM(I16*4)+(K16*4)+(M16*9)</f>
        <v>150</v>
      </c>
      <c r="H16" s="129"/>
      <c r="I16" s="129">
        <f>(E16*1.6875)</f>
        <v>3.375</v>
      </c>
      <c r="J16" s="129"/>
      <c r="K16" s="129">
        <f>(E16*14.8125)</f>
        <v>29.625</v>
      </c>
      <c r="L16" s="129"/>
      <c r="M16" s="130">
        <f>E16*1</f>
        <v>2</v>
      </c>
      <c r="O16" s="99"/>
      <c r="P16" s="99"/>
    </row>
    <row r="17" spans="1:16" x14ac:dyDescent="0.2">
      <c r="A17" s="99"/>
      <c r="C17" s="113" t="s">
        <v>34</v>
      </c>
      <c r="D17" s="117"/>
      <c r="E17" s="120">
        <v>3</v>
      </c>
      <c r="F17" s="120"/>
      <c r="G17" s="129">
        <f>SUM(I17*4)+(K17*4)+(M17*9)</f>
        <v>207</v>
      </c>
      <c r="H17" s="129"/>
      <c r="I17" s="129">
        <f>E17*0.8625</f>
        <v>2.5875000000000004</v>
      </c>
      <c r="J17" s="129"/>
      <c r="K17" s="129">
        <f>E17*15.0075</f>
        <v>45.022500000000001</v>
      </c>
      <c r="L17" s="129"/>
      <c r="M17" s="130">
        <f>E17*0.613333333333333</f>
        <v>1.839999999999999</v>
      </c>
      <c r="O17" s="99"/>
      <c r="P17" s="99"/>
    </row>
    <row r="18" spans="1:16" x14ac:dyDescent="0.2">
      <c r="A18" s="99"/>
      <c r="C18" s="113" t="s">
        <v>35</v>
      </c>
      <c r="D18" s="117"/>
      <c r="E18" s="120">
        <v>0</v>
      </c>
      <c r="F18" s="120"/>
      <c r="G18" s="129">
        <f>SUM(I18*4)+(K18*4)+(M18*9)</f>
        <v>0</v>
      </c>
      <c r="H18" s="129"/>
      <c r="I18" s="129">
        <f>E18*0.7275</f>
        <v>0</v>
      </c>
      <c r="J18" s="129"/>
      <c r="K18" s="129">
        <f>E18*22.5525</f>
        <v>0</v>
      </c>
      <c r="L18" s="129"/>
      <c r="M18" s="130">
        <f>E18*0.431111111111111</f>
        <v>0</v>
      </c>
      <c r="O18" s="99"/>
      <c r="P18" s="99"/>
    </row>
    <row r="19" spans="1:16" x14ac:dyDescent="0.2">
      <c r="A19" s="99"/>
      <c r="C19" s="113" t="s">
        <v>36</v>
      </c>
      <c r="D19" s="117"/>
      <c r="E19" s="120">
        <v>3</v>
      </c>
      <c r="F19" s="120"/>
      <c r="G19" s="129">
        <f t="shared" ref="G19:G26" si="0">SUM(I19*4)+(K19*4)+(M19*9)</f>
        <v>57</v>
      </c>
      <c r="H19" s="129"/>
      <c r="I19" s="129">
        <f>E19*0.8075</f>
        <v>2.4224999999999999</v>
      </c>
      <c r="J19" s="129"/>
      <c r="K19" s="129">
        <f>E19*2.1375</f>
        <v>6.4125000000000005</v>
      </c>
      <c r="L19" s="129"/>
      <c r="M19" s="130">
        <f>E19*0.802222222222222</f>
        <v>2.4066666666666658</v>
      </c>
      <c r="O19" s="99"/>
      <c r="P19" s="99"/>
    </row>
    <row r="20" spans="1:16" x14ac:dyDescent="0.2">
      <c r="A20" s="99"/>
      <c r="C20" s="113" t="s">
        <v>37</v>
      </c>
      <c r="D20" s="117"/>
      <c r="E20" s="120">
        <v>3</v>
      </c>
      <c r="F20" s="120"/>
      <c r="G20" s="129">
        <f t="shared" si="0"/>
        <v>123.0000000000001</v>
      </c>
      <c r="H20" s="129"/>
      <c r="I20" s="129">
        <f>E20*1.025</f>
        <v>3.0749999999999997</v>
      </c>
      <c r="J20" s="129"/>
      <c r="K20" s="129">
        <f>E20*6.15</f>
        <v>18.450000000000003</v>
      </c>
      <c r="L20" s="129"/>
      <c r="M20" s="130">
        <f>E20*1.36666666666667</f>
        <v>4.1000000000000103</v>
      </c>
      <c r="O20" s="99"/>
      <c r="P20" s="99"/>
    </row>
    <row r="21" spans="1:16" x14ac:dyDescent="0.2">
      <c r="A21" s="99"/>
      <c r="C21" s="113" t="s">
        <v>39</v>
      </c>
      <c r="D21" s="117"/>
      <c r="E21" s="120">
        <v>1</v>
      </c>
      <c r="F21" s="120"/>
      <c r="G21" s="129">
        <f t="shared" si="0"/>
        <v>157</v>
      </c>
      <c r="H21" s="129"/>
      <c r="I21" s="129">
        <f>E21*8.635</f>
        <v>8.6349999999999998</v>
      </c>
      <c r="J21" s="129"/>
      <c r="K21" s="129">
        <f>E21*12.1675</f>
        <v>12.1675</v>
      </c>
      <c r="L21" s="129"/>
      <c r="M21" s="130">
        <f>E21*8.19888888888889</f>
        <v>8.1988888888888898</v>
      </c>
      <c r="O21" s="99"/>
      <c r="P21" s="99"/>
    </row>
    <row r="22" spans="1:16" x14ac:dyDescent="0.2">
      <c r="A22" s="99"/>
      <c r="C22" s="113" t="s">
        <v>40</v>
      </c>
      <c r="D22" s="117"/>
      <c r="E22" s="120">
        <v>0</v>
      </c>
      <c r="F22" s="120"/>
      <c r="G22" s="129">
        <f t="shared" si="0"/>
        <v>0</v>
      </c>
      <c r="H22" s="129"/>
      <c r="I22" s="129">
        <f>E22*7.605</f>
        <v>0</v>
      </c>
      <c r="J22" s="129"/>
      <c r="K22" s="129">
        <f>E22*11.505</f>
        <v>0</v>
      </c>
      <c r="L22" s="129"/>
      <c r="M22" s="130">
        <f>E22*0.173333333333333</f>
        <v>0</v>
      </c>
      <c r="O22" s="99"/>
      <c r="P22" s="99"/>
    </row>
    <row r="23" spans="1:16" x14ac:dyDescent="0.2">
      <c r="A23" s="99"/>
      <c r="C23" s="113" t="s">
        <v>41</v>
      </c>
      <c r="D23" s="117"/>
      <c r="E23" s="120">
        <v>1</v>
      </c>
      <c r="F23" s="120"/>
      <c r="G23" s="129">
        <f t="shared" si="0"/>
        <v>84.999999999999972</v>
      </c>
      <c r="H23" s="129"/>
      <c r="I23" s="129">
        <f>E23*6.1625</f>
        <v>6.1624999999999996</v>
      </c>
      <c r="J23" s="129"/>
      <c r="K23" s="129">
        <f>E23*0.6375</f>
        <v>0.63749999999999996</v>
      </c>
      <c r="L23" s="129"/>
      <c r="M23" s="130">
        <f>E23*6.42222222222222</f>
        <v>6.4222222222222198</v>
      </c>
      <c r="O23" s="99"/>
      <c r="P23" s="99"/>
    </row>
    <row r="24" spans="1:16" x14ac:dyDescent="0.2">
      <c r="A24" s="99"/>
      <c r="C24" s="113" t="s">
        <v>42</v>
      </c>
      <c r="D24" s="117"/>
      <c r="E24" s="120">
        <v>1</v>
      </c>
      <c r="F24" s="120"/>
      <c r="G24" s="129">
        <f t="shared" si="0"/>
        <v>97.999999999999972</v>
      </c>
      <c r="H24" s="129"/>
      <c r="I24" s="129">
        <f>E24*6.125</f>
        <v>6.125</v>
      </c>
      <c r="J24" s="129"/>
      <c r="K24" s="129">
        <f>E24*14.7</f>
        <v>14.7</v>
      </c>
      <c r="L24" s="129"/>
      <c r="M24" s="130">
        <f>E24*1.63333333333333</f>
        <v>1.63333333333333</v>
      </c>
      <c r="O24" s="99"/>
      <c r="P24" s="99"/>
    </row>
    <row r="25" spans="1:16" x14ac:dyDescent="0.2">
      <c r="A25" s="99"/>
      <c r="C25" s="113" t="s">
        <v>438</v>
      </c>
      <c r="D25" s="117"/>
      <c r="E25" s="120">
        <v>4</v>
      </c>
      <c r="F25" s="120"/>
      <c r="G25" s="129">
        <f t="shared" si="0"/>
        <v>516</v>
      </c>
      <c r="H25" s="129"/>
      <c r="I25" s="129">
        <f>E25*14.5125</f>
        <v>58.05</v>
      </c>
      <c r="J25" s="129"/>
      <c r="K25" s="129">
        <f>E25*0.3225</f>
        <v>1.29</v>
      </c>
      <c r="L25" s="129"/>
      <c r="M25" s="130">
        <f>E25*7.74</f>
        <v>30.96</v>
      </c>
      <c r="O25" s="99"/>
      <c r="P25" s="99"/>
    </row>
    <row r="26" spans="1:16" ht="16" thickBot="1" x14ac:dyDescent="0.25">
      <c r="A26" s="99"/>
      <c r="C26" s="118" t="s">
        <v>43</v>
      </c>
      <c r="D26" s="119"/>
      <c r="E26" s="121">
        <v>3</v>
      </c>
      <c r="F26" s="121"/>
      <c r="G26" s="131">
        <f t="shared" si="0"/>
        <v>519.75</v>
      </c>
      <c r="H26" s="131"/>
      <c r="I26" s="131">
        <v>0</v>
      </c>
      <c r="J26" s="131"/>
      <c r="K26" s="131">
        <v>0</v>
      </c>
      <c r="L26" s="131"/>
      <c r="M26" s="132">
        <f>E26*19.25</f>
        <v>57.75</v>
      </c>
      <c r="O26" s="99"/>
      <c r="P26" s="99"/>
    </row>
    <row r="27" spans="1:16" ht="7.5" customHeight="1" x14ac:dyDescent="0.2">
      <c r="A27" s="99"/>
      <c r="O27" s="99"/>
      <c r="P27" s="99"/>
    </row>
    <row r="28" spans="1:16" x14ac:dyDescent="0.2">
      <c r="A28" s="99"/>
      <c r="B28" s="99"/>
      <c r="C28" s="99"/>
      <c r="D28" s="99"/>
      <c r="E28" s="99"/>
      <c r="F28" s="99"/>
      <c r="G28" s="100"/>
      <c r="H28" s="99"/>
      <c r="I28" s="100"/>
      <c r="J28" s="99"/>
      <c r="K28" s="99"/>
      <c r="L28" s="99"/>
      <c r="M28" s="99"/>
      <c r="N28" s="99"/>
      <c r="O28" s="99"/>
      <c r="P28" s="99"/>
    </row>
    <row r="29" spans="1:16" x14ac:dyDescent="0.2">
      <c r="A29" s="99"/>
      <c r="B29" s="99"/>
      <c r="C29" s="99"/>
      <c r="D29" s="99"/>
      <c r="E29" s="99"/>
      <c r="F29" s="99"/>
      <c r="G29" s="100"/>
      <c r="H29" s="99"/>
      <c r="I29" s="100"/>
      <c r="J29" s="99"/>
      <c r="K29" s="99"/>
      <c r="L29" s="99"/>
      <c r="M29" s="99"/>
      <c r="N29" s="99"/>
      <c r="O29" s="99"/>
      <c r="P29" s="99"/>
    </row>
    <row r="30" spans="1:16" x14ac:dyDescent="0.2">
      <c r="A30" s="99"/>
      <c r="B30" s="99"/>
      <c r="C30" s="99"/>
      <c r="D30" s="99"/>
      <c r="E30" s="99"/>
      <c r="F30" s="99"/>
      <c r="G30" s="100"/>
      <c r="H30" s="99"/>
      <c r="I30" s="100"/>
      <c r="J30" s="99"/>
      <c r="K30" s="99"/>
      <c r="L30" s="99"/>
      <c r="M30" s="99"/>
      <c r="N30" s="99"/>
      <c r="O30" s="99"/>
      <c r="P30" s="99"/>
    </row>
    <row r="31" spans="1:16" x14ac:dyDescent="0.2">
      <c r="A31" s="99"/>
      <c r="B31" s="99"/>
      <c r="C31" s="99"/>
      <c r="D31" s="99"/>
      <c r="E31" s="99"/>
      <c r="F31" s="99"/>
      <c r="G31" s="100"/>
      <c r="H31" s="99"/>
      <c r="I31" s="100"/>
      <c r="J31" s="99"/>
      <c r="K31" s="99"/>
      <c r="L31" s="99"/>
      <c r="M31" s="99"/>
      <c r="N31" s="99"/>
      <c r="O31" s="99"/>
      <c r="P31" s="99"/>
    </row>
    <row r="32" spans="1:16" x14ac:dyDescent="0.2">
      <c r="A32" s="99"/>
      <c r="B32" s="99"/>
      <c r="C32" s="99"/>
      <c r="D32" s="99"/>
      <c r="E32" s="99"/>
      <c r="F32" s="99"/>
      <c r="G32" s="100"/>
      <c r="H32" s="99"/>
      <c r="I32" s="100"/>
      <c r="J32" s="99"/>
      <c r="K32" s="99"/>
      <c r="L32" s="99"/>
      <c r="M32" s="99"/>
      <c r="N32" s="99"/>
      <c r="O32" s="99"/>
      <c r="P32" s="99"/>
    </row>
    <row r="33" spans="1:16" x14ac:dyDescent="0.2">
      <c r="A33" s="99"/>
      <c r="B33" s="99"/>
      <c r="C33" s="99"/>
      <c r="D33" s="99"/>
      <c r="E33" s="99"/>
      <c r="F33" s="99"/>
      <c r="G33" s="100"/>
      <c r="H33" s="99"/>
      <c r="I33" s="100"/>
      <c r="J33" s="99"/>
      <c r="K33" s="99"/>
      <c r="L33" s="99"/>
      <c r="M33" s="99"/>
      <c r="N33" s="99"/>
      <c r="O33" s="99"/>
      <c r="P33" s="99"/>
    </row>
    <row r="34" spans="1:16" x14ac:dyDescent="0.2">
      <c r="A34" s="99"/>
      <c r="B34" s="99"/>
      <c r="C34" s="99"/>
      <c r="D34" s="99"/>
      <c r="E34" s="99"/>
      <c r="F34" s="99"/>
      <c r="G34" s="100"/>
      <c r="H34" s="99"/>
      <c r="I34" s="100"/>
      <c r="J34" s="99"/>
      <c r="K34" s="99"/>
      <c r="L34" s="99"/>
      <c r="M34" s="99"/>
      <c r="N34" s="99"/>
      <c r="O34" s="99"/>
      <c r="P34" s="99"/>
    </row>
    <row r="35" spans="1:16" x14ac:dyDescent="0.2">
      <c r="A35" s="99"/>
      <c r="B35" s="99"/>
      <c r="C35" s="99"/>
      <c r="D35" s="99"/>
      <c r="E35" s="99"/>
      <c r="F35" s="99"/>
      <c r="G35" s="100"/>
      <c r="H35" s="99"/>
      <c r="I35" s="100"/>
      <c r="J35" s="99"/>
      <c r="K35" s="99"/>
      <c r="L35" s="99"/>
      <c r="M35" s="99"/>
      <c r="N35" s="99"/>
      <c r="O35" s="99"/>
      <c r="P35" s="99"/>
    </row>
    <row r="36" spans="1:16" x14ac:dyDescent="0.2">
      <c r="A36" s="99"/>
      <c r="B36" s="101"/>
      <c r="C36" s="101"/>
      <c r="D36" s="101"/>
      <c r="E36" s="102"/>
      <c r="F36" s="101"/>
      <c r="G36" s="103"/>
      <c r="H36" s="101"/>
      <c r="I36" s="100"/>
      <c r="J36" s="101"/>
      <c r="K36" s="99"/>
      <c r="L36" s="101"/>
      <c r="M36" s="99"/>
      <c r="N36" s="101"/>
      <c r="O36" s="99"/>
      <c r="P36" s="99"/>
    </row>
    <row r="100" spans="27:37" x14ac:dyDescent="0.2">
      <c r="AH100" s="302" t="s">
        <v>429</v>
      </c>
      <c r="AI100" s="302"/>
      <c r="AJ100" s="302" t="s">
        <v>430</v>
      </c>
      <c r="AK100" s="302"/>
    </row>
    <row r="101" spans="27:37" x14ac:dyDescent="0.2">
      <c r="AA101" s="108" t="s">
        <v>38</v>
      </c>
      <c r="AB101" s="108" t="s">
        <v>426</v>
      </c>
      <c r="AC101" s="108" t="s">
        <v>424</v>
      </c>
      <c r="AD101" s="108" t="s">
        <v>425</v>
      </c>
      <c r="AF101" s="108" t="s">
        <v>428</v>
      </c>
      <c r="AG101" s="108" t="s">
        <v>426</v>
      </c>
      <c r="AH101" s="108" t="s">
        <v>424</v>
      </c>
      <c r="AI101" s="108" t="s">
        <v>425</v>
      </c>
      <c r="AJ101" s="108" t="s">
        <v>424</v>
      </c>
      <c r="AK101" s="108" t="s">
        <v>425</v>
      </c>
    </row>
    <row r="102" spans="27:37" x14ac:dyDescent="0.2">
      <c r="AA102" s="107" t="s">
        <v>420</v>
      </c>
      <c r="AB102" s="108">
        <f>IF(OR($M$4="Baixo Peso",$M$4="Eutrofico"),AC102,AD102)</f>
        <v>1</v>
      </c>
      <c r="AC102" s="108">
        <v>1</v>
      </c>
      <c r="AD102" s="108">
        <v>1</v>
      </c>
      <c r="AF102" s="107" t="s">
        <v>420</v>
      </c>
      <c r="AG102" s="111" t="e">
        <f>IF(#REF!=Cálculos!$AH$100,IF(OR(Cálculos!$M$4="Baixo Peso",Cálculos!$M$4="Eutrofia"),Cálculos!$AH102,Cálculos!$AI102),IF(OR(Cálculos!$M$4="Baixo Peso",Cálculos!$M$4="Eutrofia"),Cálculos!$AJ102,Cálculos!$AK102))</f>
        <v>#REF!</v>
      </c>
      <c r="AH102" s="111">
        <f>662-(9.53*$C$4)+$AC102*(15.91*$E$4+539.6*($G$4/100))</f>
        <v>662</v>
      </c>
      <c r="AI102" s="111">
        <f>1086-(10.4*$C$4)+$AD102*(13.7*$E$4+416*($G$4/100))</f>
        <v>1086</v>
      </c>
      <c r="AJ102" s="111">
        <f>354-(6.91*$C$4)+$AC102*(9.36*$E$4+726*($G$4/100))</f>
        <v>354</v>
      </c>
      <c r="AK102" s="111">
        <f>448-(7.95*$C$4)+$AD102*(11.4*$E$4+619*($G$4/100))</f>
        <v>448</v>
      </c>
    </row>
    <row r="103" spans="27:37" x14ac:dyDescent="0.2">
      <c r="AA103" s="107" t="s">
        <v>421</v>
      </c>
      <c r="AB103" s="108">
        <f>IF(OR($M$4="Baixo Peso",$M$4="Eutrofico"),AC103,AD103)</f>
        <v>1.1399999999999999</v>
      </c>
      <c r="AC103" s="108">
        <v>1.1100000000000001</v>
      </c>
      <c r="AD103" s="108">
        <v>1.1399999999999999</v>
      </c>
      <c r="AF103" s="107" t="s">
        <v>421</v>
      </c>
      <c r="AG103" s="111">
        <f>IF(OR($M$4="Baixo Peso",$M$4="Eutrofico"),AH103,AI103)</f>
        <v>1086</v>
      </c>
      <c r="AH103" s="111">
        <f>662-(9.53*$C$4)+$AC103*(15.91*$E$4+539.6*($G$4/100))</f>
        <v>662</v>
      </c>
      <c r="AI103" s="111">
        <f>1086-(10.4*$C$4)+$AD103*(13.7*$E$4+416*($G$4/100))</f>
        <v>1086</v>
      </c>
      <c r="AJ103" s="111">
        <f>354-(6.91*$C$4)+$AC103*(9.36*$E$4+726*($G$4/100))</f>
        <v>354</v>
      </c>
      <c r="AK103" s="111">
        <f>448-(7.95*$C$4)+$AD103*(11.4*$E$4+619*($G$4/100))</f>
        <v>448</v>
      </c>
    </row>
    <row r="104" spans="27:37" x14ac:dyDescent="0.2">
      <c r="AA104" s="107" t="s">
        <v>422</v>
      </c>
      <c r="AB104" s="108">
        <f>IF(OR($M$4="Baixo Peso",$M$4="Eutrofico"),AC104,AD104)</f>
        <v>1.28</v>
      </c>
      <c r="AC104" s="108">
        <v>1.26</v>
      </c>
      <c r="AD104" s="108">
        <v>1.28</v>
      </c>
      <c r="AF104" s="107" t="s">
        <v>422</v>
      </c>
      <c r="AG104" s="111">
        <f>IF(OR($M$4="Baixo Peso",$M$4="Eutrofico"),AH104,AI104)</f>
        <v>1086</v>
      </c>
      <c r="AH104" s="111">
        <f>662-(9.53*$C$4)+$AC104*(15.91*$E$4+539.6*($G$4/100))</f>
        <v>662</v>
      </c>
      <c r="AI104" s="111">
        <f>1086-(10.4*$C$4)+$AD104*(13.7*$E$4+416*($G$4/100))</f>
        <v>1086</v>
      </c>
      <c r="AJ104" s="111">
        <f>354-(6.91*$C$4)+$AC104*(9.36*$E$4+726*($G$4/100))</f>
        <v>354</v>
      </c>
      <c r="AK104" s="111">
        <f>448-(7.95*$C$4)+$AD104*(11.4*$E$4+619*($G$4/100))</f>
        <v>448</v>
      </c>
    </row>
    <row r="105" spans="27:37" x14ac:dyDescent="0.2">
      <c r="AA105" s="107" t="s">
        <v>423</v>
      </c>
      <c r="AB105" s="108">
        <f>IF(OR($M$4="Baixo Peso",$M$4="Eutrofico"),AC105,AD105)</f>
        <v>1.5</v>
      </c>
      <c r="AC105" s="108">
        <v>1.46</v>
      </c>
      <c r="AD105" s="108">
        <v>1.5</v>
      </c>
      <c r="AF105" s="107" t="s">
        <v>423</v>
      </c>
      <c r="AG105" s="111">
        <f>IF(OR($M$4="Baixo Peso",$M$4="Eutrofico"),AH105,AI105)</f>
        <v>1086</v>
      </c>
      <c r="AH105" s="111">
        <f>662-(9.53*$C$4)+$AC105*(15.91*$E$4+539.6*($G$4/100))</f>
        <v>662</v>
      </c>
      <c r="AI105" s="111">
        <f>1086-(10.4*$C$4)+$AD105*(13.7*$E$4+416*($G$4/100))</f>
        <v>1086</v>
      </c>
      <c r="AJ105" s="111">
        <f>354-(6.91*$C$4)+$AC105*(9.36*$E$4+726*($G$4/100))</f>
        <v>354</v>
      </c>
      <c r="AK105" s="111">
        <f>448-(7.95*$C$4)+$AD105*(11.4*$E$4+619*($G$4/100))</f>
        <v>448</v>
      </c>
    </row>
  </sheetData>
  <mergeCells count="4">
    <mergeCell ref="AH100:AI100"/>
    <mergeCell ref="AJ100:AK100"/>
    <mergeCell ref="C10:M10"/>
    <mergeCell ref="C2:M2"/>
  </mergeCells>
  <dataValidations count="1">
    <dataValidation type="list" allowBlank="1" showInputMessage="1" showErrorMessage="1" sqref="I4" xr:uid="{00000000-0002-0000-0700-000000000000}">
      <formula1>$AA$102:$AA$105</formula1>
    </dataValidation>
  </dataValidations>
  <pageMargins left="0.25" right="0.25" top="0.75" bottom="0.75" header="0.3" footer="0.3"/>
  <pageSetup orientation="portrait" r:id="rId1"/>
  <headerFooter>
    <oddHeader>&amp;L&amp;G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B1:U33"/>
  <sheetViews>
    <sheetView showGridLines="0" view="pageLayout" zoomScale="140" zoomScalePageLayoutView="140" workbookViewId="0">
      <selection activeCell="N6" sqref="N6"/>
    </sheetView>
  </sheetViews>
  <sheetFormatPr baseColWidth="10" defaultColWidth="8.83203125" defaultRowHeight="15" x14ac:dyDescent="0.2"/>
  <cols>
    <col min="1" max="1" width="2.6640625" customWidth="1"/>
    <col min="2" max="2" width="13.1640625" customWidth="1"/>
    <col min="3" max="3" width="8.6640625" customWidth="1"/>
    <col min="4" max="4" width="15.1640625" customWidth="1"/>
    <col min="5" max="5" width="6.6640625" customWidth="1"/>
    <col min="6" max="6" width="9.5" customWidth="1"/>
    <col min="7" max="7" width="12.6640625" customWidth="1"/>
    <col min="8" max="8" width="10.33203125" customWidth="1"/>
    <col min="9" max="9" width="7.6640625" customWidth="1"/>
    <col min="10" max="10" width="8.6640625" customWidth="1"/>
  </cols>
  <sheetData>
    <row r="1" spans="2:21" ht="6" customHeight="1" x14ac:dyDescent="0.35">
      <c r="N1" s="6"/>
      <c r="O1" s="6"/>
      <c r="P1" s="6"/>
      <c r="Q1" s="6"/>
      <c r="R1" s="8"/>
      <c r="S1" s="9"/>
      <c r="T1" s="7"/>
      <c r="U1" s="7"/>
    </row>
    <row r="2" spans="2:21" ht="35.25" customHeight="1" x14ac:dyDescent="0.35">
      <c r="H2" s="89" t="s">
        <v>331</v>
      </c>
      <c r="N2" t="s">
        <v>23</v>
      </c>
      <c r="O2" s="328" t="e">
        <f>#REF!</f>
        <v>#REF!</v>
      </c>
      <c r="P2" s="328"/>
      <c r="Q2" s="328"/>
      <c r="R2" s="328"/>
      <c r="S2" s="5" t="s">
        <v>26</v>
      </c>
      <c r="T2" s="325">
        <f ca="1">TODAY()</f>
        <v>45937</v>
      </c>
      <c r="U2" s="326"/>
    </row>
    <row r="3" spans="2:21" ht="16" thickBot="1" x14ac:dyDescent="0.25">
      <c r="D3" s="19" t="s">
        <v>403</v>
      </c>
      <c r="E3" s="96"/>
      <c r="F3" s="97"/>
      <c r="G3" s="97"/>
      <c r="H3" s="97"/>
      <c r="I3" s="20" t="s">
        <v>26</v>
      </c>
      <c r="J3" s="90"/>
    </row>
    <row r="4" spans="2:21" ht="16" thickTop="1" x14ac:dyDescent="0.2"/>
    <row r="5" spans="2:21" ht="16" thickBot="1" x14ac:dyDescent="0.25">
      <c r="B5" s="88" t="s">
        <v>51</v>
      </c>
      <c r="C5" s="88" t="s">
        <v>52</v>
      </c>
      <c r="D5" s="16" t="s">
        <v>44</v>
      </c>
      <c r="E5" s="16" t="s">
        <v>53</v>
      </c>
      <c r="F5" s="327" t="s">
        <v>54</v>
      </c>
      <c r="G5" s="327"/>
      <c r="H5" s="18" t="s">
        <v>55</v>
      </c>
      <c r="I5" s="327" t="s">
        <v>56</v>
      </c>
      <c r="J5" s="327"/>
    </row>
    <row r="6" spans="2:21" ht="17" thickTop="1" thickBot="1" x14ac:dyDescent="0.25">
      <c r="B6" s="321" t="s">
        <v>73</v>
      </c>
      <c r="C6" s="322"/>
      <c r="D6" s="322"/>
      <c r="E6" s="322"/>
      <c r="F6" s="322"/>
      <c r="G6" s="322"/>
      <c r="H6" s="322"/>
      <c r="I6" s="322"/>
      <c r="J6" s="323"/>
    </row>
    <row r="7" spans="2:21" ht="16" thickTop="1" x14ac:dyDescent="0.2">
      <c r="B7" s="317" t="s">
        <v>344</v>
      </c>
      <c r="C7" s="316">
        <v>0.33333333333333331</v>
      </c>
      <c r="D7" s="14" t="s">
        <v>352</v>
      </c>
      <c r="E7" s="13">
        <v>2</v>
      </c>
      <c r="F7" s="310" t="s">
        <v>332</v>
      </c>
      <c r="G7" s="310"/>
      <c r="H7" s="15">
        <f>IF(E7="-","-",VLOOKUP('P1'!F7,Porções!$B$1:$D$312,2,0)*E7)</f>
        <v>8</v>
      </c>
      <c r="I7" s="313" t="str">
        <f>IF(E7="-","-",VLOOKUP('P1'!F7,Porções!$B$1:$D$312,3,0))</f>
        <v>unidade(s)</v>
      </c>
      <c r="J7" s="313"/>
    </row>
    <row r="8" spans="2:21" x14ac:dyDescent="0.2">
      <c r="B8" s="317"/>
      <c r="C8" s="316"/>
      <c r="D8" s="14" t="s">
        <v>47</v>
      </c>
      <c r="E8" s="13">
        <v>1</v>
      </c>
      <c r="F8" s="310" t="s">
        <v>57</v>
      </c>
      <c r="G8" s="310"/>
      <c r="H8" s="15">
        <v>1</v>
      </c>
      <c r="I8" s="313" t="str">
        <f>IF(E8="-","-",VLOOKUP('P1'!F8,Porções!$B$1:$D$312,3,0))</f>
        <v>unidade(s)</v>
      </c>
      <c r="J8" s="313"/>
    </row>
    <row r="9" spans="2:21" x14ac:dyDescent="0.2">
      <c r="B9" s="317"/>
      <c r="C9" s="316"/>
      <c r="D9" s="14" t="s">
        <v>353</v>
      </c>
      <c r="E9" s="13">
        <v>1</v>
      </c>
      <c r="F9" s="310" t="s">
        <v>358</v>
      </c>
      <c r="G9" s="310"/>
      <c r="H9" s="15">
        <v>1</v>
      </c>
      <c r="I9" s="313" t="str">
        <f>IF(E9="-","-",VLOOKUP('P1'!F9,Porções!$B$1:$D$312,3,0))</f>
        <v>unidade(s)</v>
      </c>
      <c r="J9" s="313"/>
    </row>
    <row r="10" spans="2:21" ht="16" thickBot="1" x14ac:dyDescent="0.25">
      <c r="B10" s="317"/>
      <c r="C10" s="316"/>
      <c r="D10" s="14" t="s">
        <v>353</v>
      </c>
      <c r="E10" s="13">
        <v>0.5</v>
      </c>
      <c r="F10" s="310" t="s">
        <v>402</v>
      </c>
      <c r="G10" s="310"/>
      <c r="H10" s="15">
        <v>1</v>
      </c>
      <c r="I10" s="313" t="str">
        <f>IF(E10="-","-",VLOOKUP('P1'!F10,Porções!$B$1:$D$312,3,0))</f>
        <v>fatia grande</v>
      </c>
      <c r="J10" s="313"/>
    </row>
    <row r="11" spans="2:21" ht="17" thickTop="1" thickBot="1" x14ac:dyDescent="0.25">
      <c r="B11" s="321" t="s">
        <v>324</v>
      </c>
      <c r="C11" s="322"/>
      <c r="D11" s="322"/>
      <c r="E11" s="322"/>
      <c r="F11" s="322"/>
      <c r="G11" s="322"/>
      <c r="H11" s="322"/>
      <c r="I11" s="322"/>
      <c r="J11" s="323"/>
    </row>
    <row r="12" spans="2:21" ht="17" thickTop="1" thickBot="1" x14ac:dyDescent="0.25">
      <c r="B12" s="91" t="s">
        <v>345</v>
      </c>
      <c r="C12" s="92">
        <v>0.41666666666666669</v>
      </c>
      <c r="D12" s="12" t="s">
        <v>47</v>
      </c>
      <c r="E12" s="95">
        <v>1</v>
      </c>
      <c r="F12" s="318" t="s">
        <v>197</v>
      </c>
      <c r="G12" s="318"/>
      <c r="H12" s="15">
        <f>IF(E12="-","-",VLOOKUP('P1'!F12,Porções!$B$1:$D$312,2,0)*E12)</f>
        <v>1</v>
      </c>
      <c r="I12" s="313" t="str">
        <f>IF(E12="-","-",VLOOKUP('P1'!F12,Porções!$B$1:$D$312,3,0))</f>
        <v>unidade(s)</v>
      </c>
      <c r="J12" s="313"/>
    </row>
    <row r="13" spans="2:21" ht="17" thickTop="1" thickBot="1" x14ac:dyDescent="0.25">
      <c r="B13" s="324"/>
      <c r="C13" s="324"/>
      <c r="D13" s="324"/>
      <c r="E13" s="324"/>
      <c r="F13" s="324"/>
      <c r="G13" s="324"/>
      <c r="H13" s="324"/>
      <c r="I13" s="324"/>
      <c r="J13" s="324"/>
    </row>
    <row r="14" spans="2:21" ht="16" thickTop="1" x14ac:dyDescent="0.2">
      <c r="B14" s="317" t="s">
        <v>346</v>
      </c>
      <c r="C14" s="316">
        <v>0.52083333333333337</v>
      </c>
      <c r="D14" s="14" t="s">
        <v>353</v>
      </c>
      <c r="E14" s="13">
        <v>2</v>
      </c>
      <c r="F14" s="310" t="s">
        <v>69</v>
      </c>
      <c r="G14" s="310"/>
      <c r="H14" s="15">
        <f>IF(E14="-","-",VLOOKUP('P1'!F14,Porções!$B$1:$D$312,2,0)*E14)</f>
        <v>2</v>
      </c>
      <c r="I14" s="313" t="str">
        <f>IF(E14="-","-",VLOOKUP('P1'!F14,Porções!$B$1:$D$312,3,0))</f>
        <v>pedaço(s) médio(s)</v>
      </c>
      <c r="J14" s="313"/>
    </row>
    <row r="15" spans="2:21" x14ac:dyDescent="0.2">
      <c r="B15" s="317"/>
      <c r="C15" s="316"/>
      <c r="D15" s="14" t="s">
        <v>45</v>
      </c>
      <c r="E15" s="13">
        <v>2</v>
      </c>
      <c r="F15" s="310" t="s">
        <v>215</v>
      </c>
      <c r="G15" s="310"/>
      <c r="H15" s="15">
        <f>IF(E15="-","-",VLOOKUP('P1'!F15,Porções!$B$1:$D$312,2,0)*E15)</f>
        <v>2</v>
      </c>
      <c r="I15" s="313" t="str">
        <f>IF(E15="-","-",VLOOKUP('P1'!F15,Porções!$B$1:$D$312,3,0))</f>
        <v>pires ou mais</v>
      </c>
      <c r="J15" s="313"/>
    </row>
    <row r="16" spans="2:21" x14ac:dyDescent="0.2">
      <c r="B16" s="317"/>
      <c r="C16" s="316"/>
      <c r="D16" s="14" t="s">
        <v>46</v>
      </c>
      <c r="E16" s="13">
        <v>2</v>
      </c>
      <c r="F16" s="310" t="s">
        <v>246</v>
      </c>
      <c r="G16" s="310"/>
      <c r="H16" s="15">
        <f>IF(E16="-","-",VLOOKUP('P1'!F16,Porções!$B$1:$D$312,2,0)*E16)</f>
        <v>4</v>
      </c>
      <c r="I16" s="313" t="str">
        <f>IF(E16="-","-",VLOOKUP('P1'!F16,Porções!$B$1:$D$312,3,0))</f>
        <v>colher(es) de sopa</v>
      </c>
      <c r="J16" s="313"/>
    </row>
    <row r="17" spans="2:10" ht="16" thickBot="1" x14ac:dyDescent="0.25">
      <c r="B17" s="317"/>
      <c r="C17" s="316"/>
      <c r="D17" s="14" t="s">
        <v>352</v>
      </c>
      <c r="E17" s="13">
        <v>1</v>
      </c>
      <c r="F17" s="310" t="s">
        <v>62</v>
      </c>
      <c r="G17" s="310"/>
      <c r="H17" s="15">
        <f>IF(E17="-","-",VLOOKUP('P1'!F17,Porções!$B$1:$D$312,2,0)*E17)</f>
        <v>1</v>
      </c>
      <c r="I17" s="313" t="str">
        <f>IF(E17="-","-",VLOOKUP('P1'!F17,Porções!$B$1:$D$312,3,0))</f>
        <v>colher(es) de servir</v>
      </c>
      <c r="J17" s="313"/>
    </row>
    <row r="18" spans="2:10" ht="17" thickTop="1" thickBot="1" x14ac:dyDescent="0.25">
      <c r="B18" s="321" t="s">
        <v>324</v>
      </c>
      <c r="C18" s="322"/>
      <c r="D18" s="322"/>
      <c r="E18" s="322"/>
      <c r="F18" s="322"/>
      <c r="G18" s="322"/>
      <c r="H18" s="322"/>
      <c r="I18" s="322"/>
      <c r="J18" s="323"/>
    </row>
    <row r="19" spans="2:10" ht="16" thickTop="1" x14ac:dyDescent="0.2">
      <c r="B19" s="93" t="s">
        <v>399</v>
      </c>
      <c r="C19" s="94">
        <v>0.66666666666666663</v>
      </c>
      <c r="D19" s="14" t="s">
        <v>78</v>
      </c>
      <c r="E19" s="13">
        <v>1</v>
      </c>
      <c r="F19" s="312" t="s">
        <v>274</v>
      </c>
      <c r="G19" s="312"/>
      <c r="H19" s="15">
        <f>IF(E19="-","-",VLOOKUP('P1'!F19,Porções!$B$1:$D$312,2,0)*E19)</f>
        <v>3</v>
      </c>
      <c r="I19" s="313" t="str">
        <f>IF(E19="-","-",VLOOKUP('P1'!F19,Porções!$B$1:$D$312,3,0))</f>
        <v>unidade(s)</v>
      </c>
      <c r="J19" s="313"/>
    </row>
    <row r="20" spans="2:10" ht="16" thickBot="1" x14ac:dyDescent="0.25">
      <c r="B20" s="93"/>
      <c r="C20" s="94"/>
      <c r="D20" s="16" t="s">
        <v>47</v>
      </c>
      <c r="E20" s="17">
        <v>1</v>
      </c>
      <c r="F20" s="319" t="s">
        <v>202</v>
      </c>
      <c r="G20" s="319"/>
      <c r="H20" s="87">
        <f>IF(E20="-","-",VLOOKUP('P1'!F20,Porções!$B$1:$D$312,2,0)*E20)</f>
        <v>10</v>
      </c>
      <c r="I20" s="320" t="str">
        <f>IF(E20="-","-",VLOOKUP('P1'!F20,Porções!$B$1:$D$312,3,0))</f>
        <v>unidade(s)</v>
      </c>
      <c r="J20" s="320"/>
    </row>
    <row r="21" spans="2:10" ht="16" thickTop="1" x14ac:dyDescent="0.2">
      <c r="B21" s="315" t="s">
        <v>399</v>
      </c>
      <c r="C21" s="315">
        <v>0.75</v>
      </c>
      <c r="D21" s="14" t="s">
        <v>79</v>
      </c>
      <c r="E21" s="13">
        <v>1</v>
      </c>
      <c r="F21" s="318" t="s">
        <v>280</v>
      </c>
      <c r="G21" s="318"/>
      <c r="H21" s="15">
        <f>IF(E21="-","-",VLOOKUP('P1'!F21,Porções!$B$1:$D$312,2,0)*E21)</f>
        <v>1</v>
      </c>
      <c r="I21" s="311" t="str">
        <f>IF(E21="-","-",VLOOKUP('P1'!F21,Porções!$B$1:$D$312,3,0))</f>
        <v>pitada</v>
      </c>
      <c r="J21" s="311"/>
    </row>
    <row r="22" spans="2:10" ht="16" thickBot="1" x14ac:dyDescent="0.25">
      <c r="B22" s="316"/>
      <c r="C22" s="316"/>
      <c r="D22" s="16" t="s">
        <v>47</v>
      </c>
      <c r="E22" s="17">
        <v>1</v>
      </c>
      <c r="F22" s="319" t="s">
        <v>57</v>
      </c>
      <c r="G22" s="319"/>
      <c r="H22" s="87">
        <f>IF(E22="-","-",VLOOKUP('P1'!F22,Porções!$B$1:$D$312,2,0)*E22)</f>
        <v>1</v>
      </c>
      <c r="I22" s="313" t="str">
        <f>IF(E22="-","-",VLOOKUP('P1'!F22,Porções!$B$1:$D$312,3,0))</f>
        <v>unidade(s)</v>
      </c>
      <c r="J22" s="313"/>
    </row>
    <row r="23" spans="2:10" ht="16" thickTop="1" x14ac:dyDescent="0.2">
      <c r="B23" s="315" t="s">
        <v>396</v>
      </c>
      <c r="C23" s="315">
        <v>0.83333333333333337</v>
      </c>
      <c r="D23" s="14" t="s">
        <v>352</v>
      </c>
      <c r="E23" s="13">
        <v>2</v>
      </c>
      <c r="F23" s="310" t="s">
        <v>124</v>
      </c>
      <c r="G23" s="310"/>
      <c r="H23" s="15">
        <f>IF(E23="-","-",VLOOKUP('P1'!F23,Porções!$B$1:$D$312,2,0)*E23)</f>
        <v>3</v>
      </c>
      <c r="I23" s="311" t="str">
        <f>IF(E23="-","-",VLOOKUP('P1'!F23,Porções!$B$1:$D$312,3,0))</f>
        <v>colher(es) de servir</v>
      </c>
      <c r="J23" s="311"/>
    </row>
    <row r="24" spans="2:10" x14ac:dyDescent="0.2">
      <c r="B24" s="316"/>
      <c r="C24" s="316"/>
      <c r="D24" s="14" t="s">
        <v>353</v>
      </c>
      <c r="E24" s="13">
        <v>1</v>
      </c>
      <c r="F24" s="312" t="s">
        <v>356</v>
      </c>
      <c r="G24" s="312"/>
      <c r="H24" s="15">
        <f>IF(E24="-","-",VLOOKUP('P1'!F24,Porções!$B$1:$D$312,2,0)*E24)</f>
        <v>1</v>
      </c>
      <c r="I24" s="313" t="str">
        <f>IF(E24="-","-",VLOOKUP('P1'!F24,Porções!$B$1:$D$312,3,0))</f>
        <v>pedaço(s) médio(s)</v>
      </c>
      <c r="J24" s="313"/>
    </row>
    <row r="25" spans="2:10" x14ac:dyDescent="0.2">
      <c r="B25" s="316"/>
      <c r="C25" s="316"/>
      <c r="D25" s="14" t="s">
        <v>45</v>
      </c>
      <c r="E25" s="13">
        <v>1</v>
      </c>
      <c r="F25" s="312" t="s">
        <v>214</v>
      </c>
      <c r="G25" s="312"/>
      <c r="H25" s="15">
        <f>IF(E25="-","-",VLOOKUP('P1'!F25,Porções!$B$1:$D$312,2,0)*E25)</f>
        <v>1</v>
      </c>
      <c r="I25" s="313" t="str">
        <f>IF(E25="-","-",VLOOKUP('P1'!F25,Porções!$B$1:$D$312,3,0))</f>
        <v>pires ou mais</v>
      </c>
      <c r="J25" s="313"/>
    </row>
    <row r="26" spans="2:10" ht="17.25" customHeight="1" x14ac:dyDescent="0.2">
      <c r="B26" s="314" t="s">
        <v>395</v>
      </c>
      <c r="C26" s="314"/>
      <c r="D26" s="314"/>
      <c r="E26" s="314"/>
      <c r="F26" s="314"/>
      <c r="G26" s="314"/>
      <c r="H26" s="314"/>
      <c r="I26" s="314"/>
      <c r="J26" s="314"/>
    </row>
    <row r="28" spans="2:10" x14ac:dyDescent="0.2">
      <c r="B28" s="309" t="s">
        <v>404</v>
      </c>
      <c r="C28" s="309"/>
      <c r="D28" s="309"/>
      <c r="E28" s="309"/>
      <c r="F28" s="309"/>
      <c r="G28" s="309"/>
      <c r="H28" s="309"/>
      <c r="I28" s="309"/>
      <c r="J28" s="309"/>
    </row>
    <row r="29" spans="2:10" x14ac:dyDescent="0.2">
      <c r="B29" s="309"/>
      <c r="C29" s="309"/>
      <c r="D29" s="309"/>
      <c r="E29" s="309"/>
      <c r="F29" s="309"/>
      <c r="G29" s="309"/>
      <c r="H29" s="309"/>
      <c r="I29" s="309"/>
      <c r="J29" s="309"/>
    </row>
    <row r="30" spans="2:10" x14ac:dyDescent="0.2">
      <c r="B30" s="309"/>
      <c r="C30" s="309"/>
      <c r="D30" s="309"/>
      <c r="E30" s="309"/>
      <c r="F30" s="309"/>
      <c r="G30" s="309"/>
      <c r="H30" s="309"/>
      <c r="I30" s="309"/>
      <c r="J30" s="309"/>
    </row>
    <row r="32" spans="2:10" x14ac:dyDescent="0.2">
      <c r="B32" s="309"/>
      <c r="C32" s="309"/>
      <c r="D32" s="309"/>
      <c r="E32" s="309"/>
      <c r="F32" s="309"/>
      <c r="G32" s="309"/>
      <c r="H32" s="309"/>
      <c r="I32" s="309"/>
      <c r="J32" s="309"/>
    </row>
    <row r="33" spans="2:10" x14ac:dyDescent="0.2">
      <c r="B33" s="309"/>
      <c r="C33" s="309"/>
      <c r="D33" s="309"/>
      <c r="E33" s="309"/>
      <c r="F33" s="309"/>
      <c r="G33" s="309"/>
      <c r="H33" s="309"/>
      <c r="I33" s="309"/>
      <c r="J33" s="309"/>
    </row>
  </sheetData>
  <mergeCells count="51">
    <mergeCell ref="T2:U2"/>
    <mergeCell ref="F5:G5"/>
    <mergeCell ref="I5:J5"/>
    <mergeCell ref="I12:J12"/>
    <mergeCell ref="F12:G12"/>
    <mergeCell ref="F10:G10"/>
    <mergeCell ref="B6:J6"/>
    <mergeCell ref="O2:R2"/>
    <mergeCell ref="I7:J7"/>
    <mergeCell ref="F7:G7"/>
    <mergeCell ref="B11:J11"/>
    <mergeCell ref="I10:J10"/>
    <mergeCell ref="C7:C10"/>
    <mergeCell ref="F8:G8"/>
    <mergeCell ref="I8:J8"/>
    <mergeCell ref="I9:J9"/>
    <mergeCell ref="B18:J18"/>
    <mergeCell ref="I19:J19"/>
    <mergeCell ref="B13:J13"/>
    <mergeCell ref="B14:B17"/>
    <mergeCell ref="C14:C17"/>
    <mergeCell ref="F16:G16"/>
    <mergeCell ref="I16:J16"/>
    <mergeCell ref="I17:J17"/>
    <mergeCell ref="F9:G9"/>
    <mergeCell ref="B7:B10"/>
    <mergeCell ref="I15:J15"/>
    <mergeCell ref="I14:J14"/>
    <mergeCell ref="I22:J22"/>
    <mergeCell ref="B21:B22"/>
    <mergeCell ref="C21:C22"/>
    <mergeCell ref="F21:G21"/>
    <mergeCell ref="F22:G22"/>
    <mergeCell ref="I21:J21"/>
    <mergeCell ref="I20:J20"/>
    <mergeCell ref="F14:G14"/>
    <mergeCell ref="F15:G15"/>
    <mergeCell ref="F20:G20"/>
    <mergeCell ref="F19:G19"/>
    <mergeCell ref="F17:G17"/>
    <mergeCell ref="B28:J30"/>
    <mergeCell ref="B32:J33"/>
    <mergeCell ref="F23:G23"/>
    <mergeCell ref="I23:J23"/>
    <mergeCell ref="F25:G25"/>
    <mergeCell ref="I25:J25"/>
    <mergeCell ref="B26:J26"/>
    <mergeCell ref="B23:B25"/>
    <mergeCell ref="C23:C25"/>
    <mergeCell ref="F24:G24"/>
    <mergeCell ref="I24:J24"/>
  </mergeCells>
  <phoneticPr fontId="19" type="noConversion"/>
  <dataValidations count="3">
    <dataValidation type="list" allowBlank="1" showInputMessage="1" showErrorMessage="1" sqref="F14:G17 F19:G25 F12:G12 F7:G10" xr:uid="{00000000-0002-0000-0800-000000000000}">
      <formula1>INDIRECT(D7)</formula1>
    </dataValidation>
    <dataValidation type="list" allowBlank="1" showInputMessage="1" showErrorMessage="1" sqref="D14:D17 D12 D19:D25 D7:D10" xr:uid="{00000000-0002-0000-0800-000001000000}">
      <formula1>GRUPOS</formula1>
    </dataValidation>
    <dataValidation type="list" allowBlank="1" showInputMessage="1" showErrorMessage="1" sqref="B18 B11 B6" xr:uid="{00000000-0002-0000-0800-000002000000}">
      <formula1>Frases</formula1>
    </dataValidation>
  </dataValidations>
  <pageMargins left="0.25" right="0.25" top="1.2650000000000001" bottom="0.75" header="0.3" footer="0.3"/>
  <pageSetup paperSize="9" scale="96" orientation="portrait" r:id="rId1"/>
  <extLst>
    <ext xmlns:mx="http://schemas.microsoft.com/office/mac/excel/2008/main" uri="{64002731-A6B0-56B0-2670-7721B7C09600}">
      <mx:PLV Mode="1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C20"/>
  <sheetViews>
    <sheetView workbookViewId="0">
      <selection activeCell="H27" sqref="H27"/>
    </sheetView>
  </sheetViews>
  <sheetFormatPr baseColWidth="10" defaultColWidth="8.83203125" defaultRowHeight="15" x14ac:dyDescent="0.2"/>
  <cols>
    <col min="1" max="1" width="84.33203125" customWidth="1"/>
    <col min="2" max="2" width="1.6640625" customWidth="1"/>
    <col min="3" max="3" width="37.5" customWidth="1"/>
  </cols>
  <sheetData>
    <row r="1" spans="1:3" x14ac:dyDescent="0.2">
      <c r="A1" t="s">
        <v>73</v>
      </c>
    </row>
    <row r="2" spans="1:3" x14ac:dyDescent="0.2">
      <c r="A2" t="s">
        <v>74</v>
      </c>
      <c r="C2" s="21" t="s">
        <v>352</v>
      </c>
    </row>
    <row r="3" spans="1:3" x14ac:dyDescent="0.2">
      <c r="A3" t="s">
        <v>324</v>
      </c>
      <c r="C3" s="22" t="s">
        <v>45</v>
      </c>
    </row>
    <row r="4" spans="1:3" x14ac:dyDescent="0.2">
      <c r="A4" t="s">
        <v>325</v>
      </c>
      <c r="C4" s="23" t="s">
        <v>46</v>
      </c>
    </row>
    <row r="5" spans="1:3" x14ac:dyDescent="0.2">
      <c r="A5" t="s">
        <v>326</v>
      </c>
      <c r="C5" s="24" t="s">
        <v>47</v>
      </c>
    </row>
    <row r="6" spans="1:3" x14ac:dyDescent="0.2">
      <c r="A6" t="s">
        <v>327</v>
      </c>
      <c r="C6" s="25" t="s">
        <v>75</v>
      </c>
    </row>
    <row r="7" spans="1:3" x14ac:dyDescent="0.2">
      <c r="A7" t="s">
        <v>328</v>
      </c>
      <c r="C7" s="26" t="s">
        <v>321</v>
      </c>
    </row>
    <row r="8" spans="1:3" x14ac:dyDescent="0.2">
      <c r="A8" t="s">
        <v>329</v>
      </c>
      <c r="C8" s="27" t="s">
        <v>76</v>
      </c>
    </row>
    <row r="9" spans="1:3" x14ac:dyDescent="0.2">
      <c r="A9" t="s">
        <v>330</v>
      </c>
      <c r="C9" s="28" t="s">
        <v>393</v>
      </c>
    </row>
    <row r="10" spans="1:3" x14ac:dyDescent="0.2">
      <c r="C10" s="29" t="s">
        <v>320</v>
      </c>
    </row>
    <row r="11" spans="1:3" x14ac:dyDescent="0.2">
      <c r="C11" s="30" t="s">
        <v>322</v>
      </c>
    </row>
    <row r="12" spans="1:3" x14ac:dyDescent="0.2">
      <c r="C12" s="31" t="s">
        <v>353</v>
      </c>
    </row>
    <row r="13" spans="1:3" x14ac:dyDescent="0.2">
      <c r="C13" s="32" t="s">
        <v>323</v>
      </c>
    </row>
    <row r="14" spans="1:3" x14ac:dyDescent="0.2">
      <c r="C14" s="33" t="s">
        <v>50</v>
      </c>
    </row>
    <row r="15" spans="1:3" x14ac:dyDescent="0.2">
      <c r="C15" s="34" t="s">
        <v>78</v>
      </c>
    </row>
    <row r="16" spans="1:3" x14ac:dyDescent="0.2">
      <c r="C16" s="35" t="s">
        <v>392</v>
      </c>
    </row>
    <row r="17" spans="3:3" x14ac:dyDescent="0.2">
      <c r="C17" s="36" t="s">
        <v>79</v>
      </c>
    </row>
    <row r="18" spans="3:3" x14ac:dyDescent="0.2">
      <c r="C18" s="37" t="s">
        <v>80</v>
      </c>
    </row>
    <row r="19" spans="3:3" x14ac:dyDescent="0.2">
      <c r="C19" s="38" t="s">
        <v>81</v>
      </c>
    </row>
    <row r="20" spans="3:3" x14ac:dyDescent="0.2">
      <c r="C20" s="39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-0.249977111117893"/>
  </sheetPr>
  <dimension ref="B2:D313"/>
  <sheetViews>
    <sheetView topLeftCell="A178" zoomScale="125" workbookViewId="0">
      <selection activeCell="K122" sqref="K122"/>
    </sheetView>
  </sheetViews>
  <sheetFormatPr baseColWidth="10" defaultColWidth="8.83203125" defaultRowHeight="15" x14ac:dyDescent="0.2"/>
  <cols>
    <col min="2" max="2" width="25.33203125" customWidth="1"/>
    <col min="4" max="4" width="20.1640625" customWidth="1"/>
  </cols>
  <sheetData>
    <row r="2" spans="2:4" x14ac:dyDescent="0.2">
      <c r="B2" s="21" t="s">
        <v>352</v>
      </c>
      <c r="C2" s="40" t="s">
        <v>28</v>
      </c>
      <c r="D2" s="21" t="s">
        <v>82</v>
      </c>
    </row>
    <row r="3" spans="2:4" x14ac:dyDescent="0.2">
      <c r="B3" s="41"/>
      <c r="C3" s="10"/>
    </row>
    <row r="4" spans="2:4" x14ac:dyDescent="0.2">
      <c r="B4" s="42" t="s">
        <v>83</v>
      </c>
      <c r="C4" s="43">
        <v>0.66</v>
      </c>
      <c r="D4" s="44" t="s">
        <v>376</v>
      </c>
    </row>
    <row r="5" spans="2:4" x14ac:dyDescent="0.2">
      <c r="B5" s="45" t="s">
        <v>373</v>
      </c>
      <c r="C5" s="43">
        <v>2</v>
      </c>
      <c r="D5" s="44" t="s">
        <v>85</v>
      </c>
    </row>
    <row r="6" spans="2:4" x14ac:dyDescent="0.2">
      <c r="B6" s="42" t="s">
        <v>86</v>
      </c>
      <c r="C6" s="43">
        <v>1</v>
      </c>
      <c r="D6" s="44" t="s">
        <v>87</v>
      </c>
    </row>
    <row r="7" spans="2:4" x14ac:dyDescent="0.2">
      <c r="B7" s="42" t="s">
        <v>88</v>
      </c>
      <c r="C7" s="43">
        <v>2</v>
      </c>
      <c r="D7" s="44" t="s">
        <v>85</v>
      </c>
    </row>
    <row r="8" spans="2:4" x14ac:dyDescent="0.2">
      <c r="B8" s="46" t="s">
        <v>89</v>
      </c>
      <c r="C8" s="43">
        <v>2</v>
      </c>
      <c r="D8" s="44" t="s">
        <v>85</v>
      </c>
    </row>
    <row r="9" spans="2:4" x14ac:dyDescent="0.2">
      <c r="B9" s="41" t="s">
        <v>62</v>
      </c>
      <c r="C9" s="43">
        <v>1</v>
      </c>
      <c r="D9" s="44" t="s">
        <v>87</v>
      </c>
    </row>
    <row r="10" spans="2:4" x14ac:dyDescent="0.2">
      <c r="B10" s="46" t="s">
        <v>90</v>
      </c>
      <c r="C10" s="43">
        <v>2</v>
      </c>
      <c r="D10" s="44" t="s">
        <v>85</v>
      </c>
    </row>
    <row r="11" spans="2:4" x14ac:dyDescent="0.2">
      <c r="B11" s="41" t="s">
        <v>91</v>
      </c>
      <c r="C11" s="43">
        <v>1</v>
      </c>
      <c r="D11" s="44" t="s">
        <v>87</v>
      </c>
    </row>
    <row r="12" spans="2:4" x14ac:dyDescent="0.2">
      <c r="B12" s="41" t="s">
        <v>92</v>
      </c>
      <c r="C12" s="43">
        <v>2</v>
      </c>
      <c r="D12" s="44" t="s">
        <v>85</v>
      </c>
    </row>
    <row r="13" spans="2:4" x14ac:dyDescent="0.2">
      <c r="B13" s="41" t="s">
        <v>93</v>
      </c>
      <c r="C13" s="43">
        <v>3</v>
      </c>
      <c r="D13" s="44" t="s">
        <v>94</v>
      </c>
    </row>
    <row r="14" spans="2:4" x14ac:dyDescent="0.2">
      <c r="B14" s="46" t="s">
        <v>95</v>
      </c>
      <c r="C14" s="43">
        <v>0.66</v>
      </c>
      <c r="D14" s="44" t="s">
        <v>84</v>
      </c>
    </row>
    <row r="15" spans="2:4" x14ac:dyDescent="0.2">
      <c r="B15" s="41" t="s">
        <v>374</v>
      </c>
      <c r="C15" s="43">
        <v>1</v>
      </c>
      <c r="D15" s="44" t="s">
        <v>192</v>
      </c>
    </row>
    <row r="16" spans="2:4" x14ac:dyDescent="0.2">
      <c r="B16" s="41" t="s">
        <v>375</v>
      </c>
      <c r="C16" s="43">
        <v>1</v>
      </c>
      <c r="D16" s="44" t="s">
        <v>96</v>
      </c>
    </row>
    <row r="17" spans="2:4" x14ac:dyDescent="0.2">
      <c r="B17" s="41" t="s">
        <v>97</v>
      </c>
      <c r="C17" s="43">
        <v>0.5</v>
      </c>
      <c r="D17" s="44" t="s">
        <v>96</v>
      </c>
    </row>
    <row r="18" spans="2:4" x14ac:dyDescent="0.2">
      <c r="B18" s="41" t="s">
        <v>98</v>
      </c>
      <c r="C18" s="43">
        <v>0.5</v>
      </c>
      <c r="D18" s="44" t="s">
        <v>96</v>
      </c>
    </row>
    <row r="19" spans="2:4" x14ac:dyDescent="0.2">
      <c r="B19" s="46" t="s">
        <v>99</v>
      </c>
      <c r="C19" s="43">
        <v>0.5</v>
      </c>
      <c r="D19" s="44" t="s">
        <v>96</v>
      </c>
    </row>
    <row r="20" spans="2:4" x14ac:dyDescent="0.2">
      <c r="B20" s="41" t="s">
        <v>100</v>
      </c>
      <c r="C20" s="43">
        <v>5</v>
      </c>
      <c r="D20" s="44" t="s">
        <v>94</v>
      </c>
    </row>
    <row r="21" spans="2:4" x14ac:dyDescent="0.2">
      <c r="B21" s="46" t="s">
        <v>101</v>
      </c>
      <c r="C21" s="43">
        <v>6</v>
      </c>
      <c r="D21" s="44" t="s">
        <v>94</v>
      </c>
    </row>
    <row r="22" spans="2:4" x14ac:dyDescent="0.2">
      <c r="B22" s="46" t="s">
        <v>102</v>
      </c>
      <c r="C22" s="43">
        <v>4</v>
      </c>
      <c r="D22" s="44" t="s">
        <v>94</v>
      </c>
    </row>
    <row r="23" spans="2:4" x14ac:dyDescent="0.2">
      <c r="B23" s="46" t="s">
        <v>103</v>
      </c>
      <c r="C23" s="43">
        <v>5</v>
      </c>
      <c r="D23" s="44" t="s">
        <v>94</v>
      </c>
    </row>
    <row r="24" spans="2:4" x14ac:dyDescent="0.2">
      <c r="B24" s="46" t="s">
        <v>104</v>
      </c>
      <c r="C24" s="43">
        <v>1</v>
      </c>
      <c r="D24" s="44" t="s">
        <v>94</v>
      </c>
    </row>
    <row r="25" spans="2:4" x14ac:dyDescent="0.2">
      <c r="B25" s="41" t="s">
        <v>105</v>
      </c>
      <c r="C25" s="43">
        <v>1</v>
      </c>
      <c r="D25" s="44" t="s">
        <v>87</v>
      </c>
    </row>
    <row r="26" spans="2:4" x14ac:dyDescent="0.2">
      <c r="B26" s="46" t="s">
        <v>333</v>
      </c>
      <c r="C26" s="43">
        <v>1</v>
      </c>
      <c r="D26" s="44" t="s">
        <v>94</v>
      </c>
    </row>
    <row r="27" spans="2:4" x14ac:dyDescent="0.2">
      <c r="B27" s="46" t="s">
        <v>106</v>
      </c>
      <c r="C27" s="43">
        <v>1</v>
      </c>
      <c r="D27" s="44" t="s">
        <v>94</v>
      </c>
    </row>
    <row r="28" spans="2:4" x14ac:dyDescent="0.2">
      <c r="B28" s="46" t="s">
        <v>107</v>
      </c>
      <c r="C28" s="43">
        <v>0.5</v>
      </c>
      <c r="D28" s="44" t="s">
        <v>108</v>
      </c>
    </row>
    <row r="29" spans="2:4" x14ac:dyDescent="0.2">
      <c r="B29" s="46" t="s">
        <v>109</v>
      </c>
      <c r="C29" s="43">
        <v>7</v>
      </c>
      <c r="D29" s="44" t="s">
        <v>85</v>
      </c>
    </row>
    <row r="30" spans="2:4" x14ac:dyDescent="0.2">
      <c r="B30" s="46" t="s">
        <v>110</v>
      </c>
      <c r="C30" s="43">
        <v>0.5</v>
      </c>
      <c r="D30" s="44" t="s">
        <v>108</v>
      </c>
    </row>
    <row r="31" spans="2:4" x14ac:dyDescent="0.2">
      <c r="B31" s="46" t="s">
        <v>111</v>
      </c>
      <c r="C31" s="43">
        <v>0.5</v>
      </c>
      <c r="D31" s="44" t="s">
        <v>108</v>
      </c>
    </row>
    <row r="32" spans="2:4" x14ac:dyDescent="0.2">
      <c r="B32" s="41" t="s">
        <v>112</v>
      </c>
      <c r="C32" s="43">
        <v>0.5</v>
      </c>
      <c r="D32" s="44" t="s">
        <v>113</v>
      </c>
    </row>
    <row r="33" spans="2:4" x14ac:dyDescent="0.2">
      <c r="B33" s="41" t="s">
        <v>114</v>
      </c>
      <c r="C33" s="43">
        <v>1</v>
      </c>
      <c r="D33" s="44" t="s">
        <v>94</v>
      </c>
    </row>
    <row r="34" spans="2:4" x14ac:dyDescent="0.2">
      <c r="B34" s="41" t="s">
        <v>332</v>
      </c>
      <c r="C34" s="43">
        <v>4</v>
      </c>
      <c r="D34" s="44" t="s">
        <v>94</v>
      </c>
    </row>
    <row r="35" spans="2:4" x14ac:dyDescent="0.2">
      <c r="B35" s="41" t="s">
        <v>115</v>
      </c>
      <c r="C35" s="43">
        <v>4</v>
      </c>
      <c r="D35" s="44" t="s">
        <v>94</v>
      </c>
    </row>
    <row r="36" spans="2:4" x14ac:dyDescent="0.2">
      <c r="B36" s="41" t="s">
        <v>334</v>
      </c>
      <c r="C36" s="43">
        <v>1</v>
      </c>
      <c r="D36" s="44" t="s">
        <v>87</v>
      </c>
    </row>
    <row r="37" spans="2:4" x14ac:dyDescent="0.2">
      <c r="B37" s="41" t="s">
        <v>116</v>
      </c>
      <c r="C37" s="43">
        <v>2</v>
      </c>
      <c r="D37" s="44" t="s">
        <v>85</v>
      </c>
    </row>
    <row r="38" spans="2:4" x14ac:dyDescent="0.2">
      <c r="B38" s="46" t="s">
        <v>117</v>
      </c>
      <c r="C38" s="43">
        <v>2</v>
      </c>
      <c r="D38" s="44" t="s">
        <v>85</v>
      </c>
    </row>
    <row r="39" spans="2:4" x14ac:dyDescent="0.2">
      <c r="B39" s="46" t="s">
        <v>118</v>
      </c>
      <c r="C39" s="43">
        <v>3</v>
      </c>
      <c r="D39" s="44" t="s">
        <v>85</v>
      </c>
    </row>
    <row r="40" spans="2:4" x14ac:dyDescent="0.2">
      <c r="B40" s="46" t="s">
        <v>119</v>
      </c>
      <c r="C40" s="43">
        <v>1</v>
      </c>
      <c r="D40" s="44" t="s">
        <v>94</v>
      </c>
    </row>
    <row r="41" spans="2:4" x14ac:dyDescent="0.2">
      <c r="B41" s="46" t="s">
        <v>68</v>
      </c>
      <c r="C41" s="43">
        <v>2</v>
      </c>
      <c r="D41" s="44" t="s">
        <v>85</v>
      </c>
    </row>
    <row r="42" spans="2:4" x14ac:dyDescent="0.2">
      <c r="B42" s="41" t="s">
        <v>120</v>
      </c>
      <c r="C42" s="43">
        <v>1</v>
      </c>
      <c r="D42" s="44" t="s">
        <v>87</v>
      </c>
    </row>
    <row r="43" spans="2:4" x14ac:dyDescent="0.2">
      <c r="B43" s="46" t="s">
        <v>121</v>
      </c>
      <c r="C43" s="43">
        <v>1</v>
      </c>
      <c r="D43" s="44" t="s">
        <v>122</v>
      </c>
    </row>
    <row r="44" spans="2:4" x14ac:dyDescent="0.2">
      <c r="B44" s="46" t="s">
        <v>123</v>
      </c>
      <c r="C44" s="43">
        <v>1</v>
      </c>
      <c r="D44" s="44" t="s">
        <v>122</v>
      </c>
    </row>
    <row r="45" spans="2:4" x14ac:dyDescent="0.2">
      <c r="B45" s="46" t="s">
        <v>124</v>
      </c>
      <c r="C45" s="43">
        <v>1.5</v>
      </c>
      <c r="D45" s="44" t="s">
        <v>87</v>
      </c>
    </row>
    <row r="46" spans="2:4" x14ac:dyDescent="0.2">
      <c r="B46" s="46" t="s">
        <v>125</v>
      </c>
      <c r="C46" s="43">
        <v>1.5</v>
      </c>
      <c r="D46" s="44" t="s">
        <v>87</v>
      </c>
    </row>
    <row r="47" spans="2:4" x14ac:dyDescent="0.2">
      <c r="B47" s="41" t="s">
        <v>126</v>
      </c>
      <c r="C47" s="43">
        <v>1</v>
      </c>
      <c r="D47" s="44" t="s">
        <v>87</v>
      </c>
    </row>
    <row r="48" spans="2:4" x14ac:dyDescent="0.2">
      <c r="B48" s="46" t="s">
        <v>127</v>
      </c>
      <c r="C48" s="43">
        <v>4</v>
      </c>
      <c r="D48" s="44" t="s">
        <v>85</v>
      </c>
    </row>
    <row r="49" spans="2:4" x14ac:dyDescent="0.2">
      <c r="B49" s="46" t="s">
        <v>335</v>
      </c>
      <c r="C49" s="43">
        <v>1</v>
      </c>
      <c r="D49" s="44" t="s">
        <v>128</v>
      </c>
    </row>
    <row r="50" spans="2:4" x14ac:dyDescent="0.2">
      <c r="B50" s="41" t="s">
        <v>129</v>
      </c>
      <c r="C50" s="43">
        <v>1</v>
      </c>
      <c r="D50" s="44" t="s">
        <v>128</v>
      </c>
    </row>
    <row r="51" spans="2:4" x14ac:dyDescent="0.2">
      <c r="B51" s="46" t="s">
        <v>130</v>
      </c>
      <c r="C51" s="43">
        <v>0.5</v>
      </c>
      <c r="D51" s="44" t="s">
        <v>94</v>
      </c>
    </row>
    <row r="52" spans="2:4" x14ac:dyDescent="0.2">
      <c r="B52" s="41" t="s">
        <v>131</v>
      </c>
      <c r="C52" s="43">
        <v>1</v>
      </c>
      <c r="D52" s="44" t="s">
        <v>94</v>
      </c>
    </row>
    <row r="53" spans="2:4" x14ac:dyDescent="0.2">
      <c r="B53" s="46" t="s">
        <v>132</v>
      </c>
      <c r="C53" s="43">
        <v>2</v>
      </c>
      <c r="D53" s="44" t="s">
        <v>128</v>
      </c>
    </row>
    <row r="54" spans="2:4" x14ac:dyDescent="0.2">
      <c r="B54" s="46" t="s">
        <v>133</v>
      </c>
      <c r="C54" s="43">
        <v>0.5</v>
      </c>
      <c r="D54" s="44" t="s">
        <v>134</v>
      </c>
    </row>
    <row r="55" spans="2:4" x14ac:dyDescent="0.2">
      <c r="B55" s="46" t="s">
        <v>135</v>
      </c>
      <c r="C55" s="43">
        <v>0.5</v>
      </c>
      <c r="D55" s="44" t="s">
        <v>94</v>
      </c>
    </row>
    <row r="56" spans="2:4" x14ac:dyDescent="0.2">
      <c r="B56" s="46" t="s">
        <v>136</v>
      </c>
      <c r="C56" s="43">
        <v>1</v>
      </c>
      <c r="D56" s="44" t="s">
        <v>94</v>
      </c>
    </row>
    <row r="57" spans="2:4" x14ac:dyDescent="0.2">
      <c r="B57" s="46" t="s">
        <v>137</v>
      </c>
      <c r="C57" s="43">
        <v>2</v>
      </c>
      <c r="D57" s="44" t="s">
        <v>85</v>
      </c>
    </row>
    <row r="58" spans="2:4" x14ac:dyDescent="0.2">
      <c r="B58" s="46" t="s">
        <v>138</v>
      </c>
      <c r="C58" s="43">
        <v>2</v>
      </c>
      <c r="D58" s="44" t="s">
        <v>85</v>
      </c>
    </row>
    <row r="59" spans="2:4" x14ac:dyDescent="0.2">
      <c r="B59" s="46" t="s">
        <v>139</v>
      </c>
      <c r="C59" s="43">
        <v>0.5</v>
      </c>
      <c r="D59" s="44" t="s">
        <v>94</v>
      </c>
    </row>
    <row r="60" spans="2:4" x14ac:dyDescent="0.2">
      <c r="B60" s="46" t="s">
        <v>140</v>
      </c>
      <c r="C60" s="43">
        <v>1</v>
      </c>
      <c r="D60" s="44" t="s">
        <v>94</v>
      </c>
    </row>
    <row r="61" spans="2:4" x14ac:dyDescent="0.2">
      <c r="B61" s="46" t="s">
        <v>141</v>
      </c>
      <c r="C61" s="43">
        <v>0.5</v>
      </c>
      <c r="D61" s="44" t="s">
        <v>94</v>
      </c>
    </row>
    <row r="62" spans="2:4" x14ac:dyDescent="0.2">
      <c r="B62" s="46" t="s">
        <v>142</v>
      </c>
      <c r="C62" s="43">
        <v>2</v>
      </c>
      <c r="D62" s="44" t="s">
        <v>94</v>
      </c>
    </row>
    <row r="63" spans="2:4" x14ac:dyDescent="0.2">
      <c r="B63" s="46" t="s">
        <v>143</v>
      </c>
      <c r="C63" s="43">
        <v>2</v>
      </c>
      <c r="D63" s="44" t="s">
        <v>94</v>
      </c>
    </row>
    <row r="64" spans="2:4" x14ac:dyDescent="0.2">
      <c r="B64" s="47" t="s">
        <v>144</v>
      </c>
      <c r="C64" s="43">
        <v>3</v>
      </c>
      <c r="D64" s="44" t="s">
        <v>94</v>
      </c>
    </row>
    <row r="65" spans="2:4" x14ac:dyDescent="0.2">
      <c r="B65" s="47"/>
      <c r="C65" s="43"/>
      <c r="D65" s="44"/>
    </row>
    <row r="66" spans="2:4" x14ac:dyDescent="0.2">
      <c r="B66" s="27" t="s">
        <v>76</v>
      </c>
      <c r="C66" s="48" t="s">
        <v>28</v>
      </c>
      <c r="D66" s="49" t="s">
        <v>82</v>
      </c>
    </row>
    <row r="67" spans="2:4" x14ac:dyDescent="0.2">
      <c r="B67" s="41"/>
      <c r="C67" s="10"/>
    </row>
    <row r="68" spans="2:4" x14ac:dyDescent="0.2">
      <c r="B68" s="42" t="s">
        <v>349</v>
      </c>
      <c r="C68" s="43">
        <v>1</v>
      </c>
      <c r="D68" s="44" t="s">
        <v>145</v>
      </c>
    </row>
    <row r="69" spans="2:4" x14ac:dyDescent="0.2">
      <c r="B69" s="41" t="s">
        <v>146</v>
      </c>
      <c r="C69" s="43">
        <v>2</v>
      </c>
      <c r="D69" s="44" t="s">
        <v>147</v>
      </c>
    </row>
    <row r="70" spans="2:4" x14ac:dyDescent="0.2">
      <c r="B70" s="41" t="s">
        <v>148</v>
      </c>
      <c r="C70" s="43">
        <v>1</v>
      </c>
      <c r="D70" s="44" t="s">
        <v>145</v>
      </c>
    </row>
    <row r="71" spans="2:4" x14ac:dyDescent="0.2">
      <c r="B71" s="46" t="s">
        <v>400</v>
      </c>
      <c r="C71" s="43">
        <v>1</v>
      </c>
      <c r="D71" s="44" t="s">
        <v>401</v>
      </c>
    </row>
    <row r="72" spans="2:4" x14ac:dyDescent="0.2">
      <c r="B72" s="41" t="s">
        <v>150</v>
      </c>
      <c r="C72" s="43">
        <v>1</v>
      </c>
      <c r="D72" s="44" t="s">
        <v>145</v>
      </c>
    </row>
    <row r="73" spans="2:4" x14ac:dyDescent="0.2">
      <c r="B73" s="46" t="s">
        <v>151</v>
      </c>
      <c r="C73" s="43">
        <v>1</v>
      </c>
      <c r="D73" s="44" t="s">
        <v>145</v>
      </c>
    </row>
    <row r="74" spans="2:4" x14ac:dyDescent="0.2">
      <c r="B74" s="46" t="s">
        <v>152</v>
      </c>
      <c r="C74" s="43">
        <v>2</v>
      </c>
      <c r="D74" s="44" t="s">
        <v>147</v>
      </c>
    </row>
    <row r="75" spans="2:4" x14ac:dyDescent="0.2">
      <c r="B75" s="41" t="s">
        <v>153</v>
      </c>
      <c r="C75" s="43">
        <v>1</v>
      </c>
      <c r="D75" s="44" t="s">
        <v>145</v>
      </c>
    </row>
    <row r="76" spans="2:4" x14ac:dyDescent="0.2">
      <c r="B76" s="41" t="s">
        <v>154</v>
      </c>
      <c r="C76" s="43">
        <v>2</v>
      </c>
      <c r="D76" s="44" t="s">
        <v>147</v>
      </c>
    </row>
    <row r="77" spans="2:4" x14ac:dyDescent="0.2">
      <c r="B77" s="41" t="s">
        <v>155</v>
      </c>
      <c r="C77" s="43">
        <v>2</v>
      </c>
      <c r="D77" s="44" t="s">
        <v>147</v>
      </c>
    </row>
    <row r="78" spans="2:4" x14ac:dyDescent="0.2">
      <c r="B78" s="50"/>
      <c r="C78" s="43"/>
      <c r="D78" s="44"/>
    </row>
    <row r="79" spans="2:4" x14ac:dyDescent="0.2">
      <c r="B79" s="29" t="s">
        <v>320</v>
      </c>
      <c r="C79" s="51" t="s">
        <v>28</v>
      </c>
      <c r="D79" s="52" t="s">
        <v>82</v>
      </c>
    </row>
    <row r="80" spans="2:4" x14ac:dyDescent="0.2">
      <c r="B80" s="41"/>
      <c r="C80" s="10"/>
    </row>
    <row r="81" spans="2:4" x14ac:dyDescent="0.2">
      <c r="B81" s="41" t="s">
        <v>72</v>
      </c>
      <c r="C81" s="43">
        <v>1</v>
      </c>
      <c r="D81" s="44" t="s">
        <v>145</v>
      </c>
    </row>
    <row r="82" spans="2:4" x14ac:dyDescent="0.2">
      <c r="B82" s="42" t="s">
        <v>156</v>
      </c>
      <c r="C82" s="43">
        <v>1</v>
      </c>
      <c r="D82" s="44" t="s">
        <v>145</v>
      </c>
    </row>
    <row r="83" spans="2:4" x14ac:dyDescent="0.2">
      <c r="B83" s="46" t="s">
        <v>157</v>
      </c>
      <c r="C83" s="43">
        <v>1</v>
      </c>
      <c r="D83" s="44" t="s">
        <v>158</v>
      </c>
    </row>
    <row r="84" spans="2:4" x14ac:dyDescent="0.2">
      <c r="B84" s="46" t="s">
        <v>67</v>
      </c>
      <c r="C84" s="43">
        <v>1</v>
      </c>
      <c r="D84" s="44" t="s">
        <v>149</v>
      </c>
    </row>
    <row r="85" spans="2:4" x14ac:dyDescent="0.2">
      <c r="B85" s="46" t="s">
        <v>159</v>
      </c>
      <c r="C85" s="43">
        <v>1</v>
      </c>
      <c r="D85" s="44" t="s">
        <v>149</v>
      </c>
    </row>
    <row r="86" spans="2:4" x14ac:dyDescent="0.2">
      <c r="B86" s="41" t="s">
        <v>40</v>
      </c>
      <c r="C86" s="43">
        <v>1</v>
      </c>
      <c r="D86" s="44" t="s">
        <v>145</v>
      </c>
    </row>
    <row r="87" spans="2:4" x14ac:dyDescent="0.2">
      <c r="B87" s="46" t="s">
        <v>160</v>
      </c>
      <c r="C87" s="43">
        <v>2</v>
      </c>
      <c r="D87" s="44" t="s">
        <v>161</v>
      </c>
    </row>
    <row r="88" spans="2:4" x14ac:dyDescent="0.2">
      <c r="B88" s="41" t="s">
        <v>162</v>
      </c>
      <c r="C88" s="43">
        <v>1</v>
      </c>
      <c r="D88" s="44" t="s">
        <v>145</v>
      </c>
    </row>
    <row r="89" spans="2:4" x14ac:dyDescent="0.2">
      <c r="B89" s="41" t="s">
        <v>163</v>
      </c>
      <c r="C89" s="43">
        <v>2</v>
      </c>
      <c r="D89" s="44" t="s">
        <v>161</v>
      </c>
    </row>
    <row r="90" spans="2:4" x14ac:dyDescent="0.2">
      <c r="B90" s="47"/>
      <c r="C90" s="43"/>
      <c r="D90" s="44"/>
    </row>
    <row r="91" spans="2:4" x14ac:dyDescent="0.2">
      <c r="B91" s="28" t="s">
        <v>393</v>
      </c>
      <c r="C91" s="53" t="s">
        <v>28</v>
      </c>
      <c r="D91" s="54" t="s">
        <v>82</v>
      </c>
    </row>
    <row r="92" spans="2:4" x14ac:dyDescent="0.2">
      <c r="B92" s="41"/>
      <c r="C92" s="10"/>
    </row>
    <row r="93" spans="2:4" x14ac:dyDescent="0.2">
      <c r="B93" s="45" t="s">
        <v>377</v>
      </c>
      <c r="C93" s="43">
        <v>1</v>
      </c>
      <c r="D93" s="44" t="s">
        <v>147</v>
      </c>
    </row>
    <row r="94" spans="2:4" x14ac:dyDescent="0.2">
      <c r="B94" s="46" t="s">
        <v>378</v>
      </c>
      <c r="C94" s="43">
        <v>1</v>
      </c>
      <c r="D94" s="44" t="s">
        <v>147</v>
      </c>
    </row>
    <row r="95" spans="2:4" x14ac:dyDescent="0.2">
      <c r="B95" s="46" t="s">
        <v>379</v>
      </c>
      <c r="C95" s="43">
        <v>1</v>
      </c>
      <c r="D95" s="44" t="s">
        <v>147</v>
      </c>
    </row>
    <row r="96" spans="2:4" x14ac:dyDescent="0.2">
      <c r="B96" s="46" t="s">
        <v>380</v>
      </c>
      <c r="C96" s="43">
        <v>1</v>
      </c>
      <c r="D96" s="44" t="s">
        <v>147</v>
      </c>
    </row>
    <row r="97" spans="2:4" x14ac:dyDescent="0.2">
      <c r="B97" s="46"/>
      <c r="C97" s="43"/>
      <c r="D97" s="44"/>
    </row>
    <row r="98" spans="2:4" x14ac:dyDescent="0.2">
      <c r="B98" s="47"/>
      <c r="C98" s="43"/>
      <c r="D98" s="44"/>
    </row>
    <row r="99" spans="2:4" x14ac:dyDescent="0.2">
      <c r="B99" s="30" t="s">
        <v>77</v>
      </c>
      <c r="C99" s="55" t="s">
        <v>28</v>
      </c>
      <c r="D99" s="56" t="s">
        <v>82</v>
      </c>
    </row>
    <row r="100" spans="2:4" x14ac:dyDescent="0.2">
      <c r="B100" s="41"/>
      <c r="C100" s="10"/>
    </row>
    <row r="101" spans="2:4" x14ac:dyDescent="0.2">
      <c r="B101" s="45" t="s">
        <v>166</v>
      </c>
      <c r="C101" s="43">
        <v>1</v>
      </c>
      <c r="D101" s="44" t="s">
        <v>167</v>
      </c>
    </row>
    <row r="102" spans="2:4" x14ac:dyDescent="0.2">
      <c r="B102" s="46" t="s">
        <v>168</v>
      </c>
      <c r="C102" s="43">
        <v>1</v>
      </c>
      <c r="D102" s="44" t="s">
        <v>164</v>
      </c>
    </row>
    <row r="103" spans="2:4" x14ac:dyDescent="0.2">
      <c r="B103" s="46" t="s">
        <v>169</v>
      </c>
      <c r="C103" s="43">
        <v>2</v>
      </c>
      <c r="D103" s="44" t="s">
        <v>147</v>
      </c>
    </row>
    <row r="104" spans="2:4" x14ac:dyDescent="0.2">
      <c r="B104" s="46" t="s">
        <v>170</v>
      </c>
      <c r="C104" s="43">
        <v>1</v>
      </c>
      <c r="D104" s="44" t="s">
        <v>171</v>
      </c>
    </row>
    <row r="105" spans="2:4" x14ac:dyDescent="0.2">
      <c r="B105" s="46" t="s">
        <v>172</v>
      </c>
      <c r="C105" s="43">
        <v>2</v>
      </c>
      <c r="D105" s="44" t="s">
        <v>165</v>
      </c>
    </row>
    <row r="106" spans="2:4" x14ac:dyDescent="0.2">
      <c r="B106" s="41" t="s">
        <v>173</v>
      </c>
      <c r="C106" s="43">
        <v>2</v>
      </c>
      <c r="D106" s="44" t="s">
        <v>147</v>
      </c>
    </row>
    <row r="107" spans="2:4" x14ac:dyDescent="0.2">
      <c r="B107" s="57" t="s">
        <v>174</v>
      </c>
      <c r="C107" s="43">
        <v>4</v>
      </c>
      <c r="D107" s="44" t="s">
        <v>175</v>
      </c>
    </row>
    <row r="108" spans="2:4" x14ac:dyDescent="0.2">
      <c r="B108" s="46" t="s">
        <v>176</v>
      </c>
      <c r="C108" s="43">
        <v>1</v>
      </c>
      <c r="D108" s="44" t="s">
        <v>177</v>
      </c>
    </row>
    <row r="109" spans="2:4" x14ac:dyDescent="0.2">
      <c r="B109" s="46" t="s">
        <v>178</v>
      </c>
      <c r="C109" s="43">
        <v>1</v>
      </c>
      <c r="D109" s="44" t="s">
        <v>171</v>
      </c>
    </row>
    <row r="110" spans="2:4" x14ac:dyDescent="0.2">
      <c r="B110" s="47"/>
      <c r="C110" s="43"/>
      <c r="D110" s="44"/>
    </row>
    <row r="111" spans="2:4" x14ac:dyDescent="0.2">
      <c r="B111" s="24" t="s">
        <v>47</v>
      </c>
      <c r="C111" s="58" t="s">
        <v>28</v>
      </c>
      <c r="D111" s="59" t="s">
        <v>82</v>
      </c>
    </row>
    <row r="112" spans="2:4" x14ac:dyDescent="0.2">
      <c r="B112" s="41"/>
      <c r="C112" s="10"/>
    </row>
    <row r="113" spans="2:4" x14ac:dyDescent="0.2">
      <c r="B113" s="45" t="s">
        <v>179</v>
      </c>
      <c r="C113" s="43">
        <v>2</v>
      </c>
      <c r="D113" s="44" t="s">
        <v>128</v>
      </c>
    </row>
    <row r="114" spans="2:4" x14ac:dyDescent="0.2">
      <c r="B114" s="46" t="s">
        <v>180</v>
      </c>
      <c r="C114" s="43">
        <v>2</v>
      </c>
      <c r="D114" s="44" t="s">
        <v>94</v>
      </c>
    </row>
    <row r="115" spans="2:4" x14ac:dyDescent="0.2">
      <c r="B115" s="46" t="s">
        <v>181</v>
      </c>
      <c r="C115" s="43">
        <v>7</v>
      </c>
      <c r="D115" s="44" t="s">
        <v>94</v>
      </c>
    </row>
    <row r="116" spans="2:4" x14ac:dyDescent="0.2">
      <c r="B116" s="46" t="s">
        <v>57</v>
      </c>
      <c r="C116" s="43">
        <v>1</v>
      </c>
      <c r="D116" s="44" t="s">
        <v>94</v>
      </c>
    </row>
    <row r="117" spans="2:4" x14ac:dyDescent="0.2">
      <c r="B117" s="46" t="s">
        <v>182</v>
      </c>
      <c r="C117" s="43">
        <v>1</v>
      </c>
      <c r="D117" s="44" t="s">
        <v>94</v>
      </c>
    </row>
    <row r="118" spans="2:4" x14ac:dyDescent="0.2">
      <c r="B118" s="57" t="s">
        <v>183</v>
      </c>
      <c r="C118" s="43">
        <v>1</v>
      </c>
      <c r="D118" s="44" t="s">
        <v>94</v>
      </c>
    </row>
    <row r="119" spans="2:4" x14ac:dyDescent="0.2">
      <c r="B119" s="57" t="s">
        <v>184</v>
      </c>
      <c r="C119" s="43">
        <v>5</v>
      </c>
      <c r="D119" s="44" t="s">
        <v>94</v>
      </c>
    </row>
    <row r="120" spans="2:4" x14ac:dyDescent="0.2">
      <c r="B120" s="46" t="s">
        <v>185</v>
      </c>
      <c r="C120" s="43">
        <v>1</v>
      </c>
      <c r="D120" s="44" t="s">
        <v>94</v>
      </c>
    </row>
    <row r="121" spans="2:4" x14ac:dyDescent="0.2">
      <c r="B121" s="46" t="s">
        <v>186</v>
      </c>
      <c r="C121" s="43">
        <v>1</v>
      </c>
      <c r="D121" s="44" t="s">
        <v>94</v>
      </c>
    </row>
    <row r="122" spans="2:4" x14ac:dyDescent="0.2">
      <c r="B122" s="46" t="s">
        <v>187</v>
      </c>
      <c r="C122" s="43">
        <v>1</v>
      </c>
      <c r="D122" s="44" t="s">
        <v>94</v>
      </c>
    </row>
    <row r="123" spans="2:4" x14ac:dyDescent="0.2">
      <c r="B123" s="46" t="s">
        <v>188</v>
      </c>
      <c r="C123" s="43">
        <v>1</v>
      </c>
      <c r="D123" s="44" t="s">
        <v>94</v>
      </c>
    </row>
    <row r="124" spans="2:4" x14ac:dyDescent="0.2">
      <c r="B124" s="46" t="s">
        <v>189</v>
      </c>
      <c r="C124" s="43">
        <v>1</v>
      </c>
      <c r="D124" s="44" t="s">
        <v>94</v>
      </c>
    </row>
    <row r="125" spans="2:4" x14ac:dyDescent="0.2">
      <c r="B125" s="46" t="s">
        <v>59</v>
      </c>
      <c r="C125" s="43">
        <v>1</v>
      </c>
      <c r="D125" s="44" t="s">
        <v>171</v>
      </c>
    </row>
    <row r="126" spans="2:4" x14ac:dyDescent="0.2">
      <c r="B126" s="46" t="s">
        <v>190</v>
      </c>
      <c r="C126" s="43">
        <v>0.5</v>
      </c>
      <c r="D126" s="44" t="s">
        <v>94</v>
      </c>
    </row>
    <row r="127" spans="2:4" x14ac:dyDescent="0.2">
      <c r="B127" s="57" t="s">
        <v>191</v>
      </c>
      <c r="C127" s="43">
        <v>1</v>
      </c>
      <c r="D127" s="44" t="s">
        <v>192</v>
      </c>
    </row>
    <row r="128" spans="2:4" x14ac:dyDescent="0.2">
      <c r="B128" s="46" t="s">
        <v>193</v>
      </c>
      <c r="C128" s="43">
        <v>1</v>
      </c>
      <c r="D128" s="44" t="s">
        <v>194</v>
      </c>
    </row>
    <row r="129" spans="2:4" x14ac:dyDescent="0.2">
      <c r="B129" s="46" t="s">
        <v>195</v>
      </c>
      <c r="C129" s="43">
        <v>1</v>
      </c>
      <c r="D129" s="44" t="s">
        <v>194</v>
      </c>
    </row>
    <row r="130" spans="2:4" x14ac:dyDescent="0.2">
      <c r="B130" s="46" t="s">
        <v>196</v>
      </c>
      <c r="C130" s="43">
        <v>8</v>
      </c>
      <c r="D130" s="44" t="s">
        <v>192</v>
      </c>
    </row>
    <row r="131" spans="2:4" x14ac:dyDescent="0.2">
      <c r="B131" s="46" t="s">
        <v>197</v>
      </c>
      <c r="C131" s="43">
        <v>1</v>
      </c>
      <c r="D131" s="44" t="s">
        <v>94</v>
      </c>
    </row>
    <row r="132" spans="2:4" x14ac:dyDescent="0.2">
      <c r="B132" s="46" t="s">
        <v>198</v>
      </c>
      <c r="C132" s="43">
        <v>1</v>
      </c>
      <c r="D132" s="44" t="s">
        <v>199</v>
      </c>
    </row>
    <row r="133" spans="2:4" x14ac:dyDescent="0.2">
      <c r="B133" s="46" t="s">
        <v>200</v>
      </c>
      <c r="C133" s="43">
        <v>1</v>
      </c>
      <c r="D133" s="44" t="s">
        <v>94</v>
      </c>
    </row>
    <row r="134" spans="2:4" x14ac:dyDescent="0.2">
      <c r="B134" s="46" t="s">
        <v>201</v>
      </c>
      <c r="C134" s="43">
        <v>1</v>
      </c>
      <c r="D134" s="44" t="s">
        <v>94</v>
      </c>
    </row>
    <row r="135" spans="2:4" x14ac:dyDescent="0.2">
      <c r="B135" s="46" t="s">
        <v>202</v>
      </c>
      <c r="C135" s="43">
        <v>10</v>
      </c>
      <c r="D135" s="44" t="s">
        <v>94</v>
      </c>
    </row>
    <row r="136" spans="2:4" x14ac:dyDescent="0.2">
      <c r="B136" s="46" t="s">
        <v>61</v>
      </c>
      <c r="C136" s="43">
        <v>3</v>
      </c>
      <c r="D136" s="44" t="s">
        <v>85</v>
      </c>
    </row>
    <row r="137" spans="2:4" x14ac:dyDescent="0.2">
      <c r="B137" s="47"/>
      <c r="C137" s="43"/>
      <c r="D137" s="44"/>
    </row>
    <row r="138" spans="2:4" x14ac:dyDescent="0.2">
      <c r="B138" s="25" t="s">
        <v>75</v>
      </c>
      <c r="C138" s="60" t="s">
        <v>28</v>
      </c>
      <c r="D138" s="61" t="s">
        <v>82</v>
      </c>
    </row>
    <row r="139" spans="2:4" x14ac:dyDescent="0.2">
      <c r="B139" s="41"/>
      <c r="C139" s="43"/>
    </row>
    <row r="140" spans="2:4" x14ac:dyDescent="0.2">
      <c r="B140" s="41" t="s">
        <v>347</v>
      </c>
      <c r="C140" s="43">
        <v>1</v>
      </c>
      <c r="D140" s="44" t="s">
        <v>203</v>
      </c>
    </row>
    <row r="141" spans="2:4" x14ac:dyDescent="0.2">
      <c r="B141" s="41" t="s">
        <v>381</v>
      </c>
      <c r="C141" s="43">
        <v>1</v>
      </c>
      <c r="D141" s="44" t="s">
        <v>204</v>
      </c>
    </row>
    <row r="142" spans="2:4" x14ac:dyDescent="0.2">
      <c r="B142" s="41" t="s">
        <v>205</v>
      </c>
      <c r="C142" s="43">
        <v>1</v>
      </c>
      <c r="D142" s="44" t="s">
        <v>206</v>
      </c>
    </row>
    <row r="143" spans="2:4" x14ac:dyDescent="0.2">
      <c r="B143" s="41" t="s">
        <v>208</v>
      </c>
      <c r="C143" s="43">
        <v>2</v>
      </c>
      <c r="D143" s="44" t="s">
        <v>203</v>
      </c>
    </row>
    <row r="144" spans="2:4" x14ac:dyDescent="0.2">
      <c r="B144" s="41" t="s">
        <v>207</v>
      </c>
      <c r="C144" s="43">
        <v>0.5</v>
      </c>
      <c r="D144" t="s">
        <v>203</v>
      </c>
    </row>
    <row r="145" spans="2:4" x14ac:dyDescent="0.2">
      <c r="B145" s="50"/>
      <c r="C145" s="43"/>
      <c r="D145" s="44"/>
    </row>
    <row r="146" spans="2:4" x14ac:dyDescent="0.2">
      <c r="B146" s="26" t="s">
        <v>48</v>
      </c>
      <c r="C146" s="62" t="s">
        <v>28</v>
      </c>
      <c r="D146" s="63" t="s">
        <v>82</v>
      </c>
    </row>
    <row r="147" spans="2:4" x14ac:dyDescent="0.2">
      <c r="B147" s="41"/>
      <c r="C147" s="43"/>
    </row>
    <row r="148" spans="2:4" x14ac:dyDescent="0.2">
      <c r="B148" s="45" t="s">
        <v>208</v>
      </c>
      <c r="C148" s="43">
        <v>1</v>
      </c>
      <c r="D148" s="44" t="s">
        <v>206</v>
      </c>
    </row>
    <row r="149" spans="2:4" x14ac:dyDescent="0.2">
      <c r="B149" s="45" t="s">
        <v>209</v>
      </c>
      <c r="C149" s="43">
        <v>1</v>
      </c>
      <c r="D149" s="44" t="s">
        <v>203</v>
      </c>
    </row>
    <row r="150" spans="2:4" x14ac:dyDescent="0.2">
      <c r="B150" s="45" t="s">
        <v>210</v>
      </c>
      <c r="C150" s="43">
        <v>1</v>
      </c>
      <c r="D150" s="44" t="s">
        <v>203</v>
      </c>
    </row>
    <row r="151" spans="2:4" x14ac:dyDescent="0.2">
      <c r="B151" s="45" t="s">
        <v>211</v>
      </c>
      <c r="C151" s="43">
        <v>1</v>
      </c>
      <c r="D151" s="44" t="s">
        <v>204</v>
      </c>
    </row>
    <row r="152" spans="2:4" x14ac:dyDescent="0.2">
      <c r="B152" s="46" t="s">
        <v>60</v>
      </c>
      <c r="C152" s="43">
        <v>1</v>
      </c>
      <c r="D152" s="44" t="s">
        <v>203</v>
      </c>
    </row>
    <row r="153" spans="2:4" x14ac:dyDescent="0.2">
      <c r="B153" s="47"/>
      <c r="C153" s="43"/>
      <c r="D153" s="44"/>
    </row>
    <row r="154" spans="2:4" x14ac:dyDescent="0.2">
      <c r="B154" s="22" t="s">
        <v>45</v>
      </c>
      <c r="C154" s="64" t="s">
        <v>28</v>
      </c>
      <c r="D154" s="65" t="s">
        <v>82</v>
      </c>
    </row>
    <row r="155" spans="2:4" x14ac:dyDescent="0.2">
      <c r="B155" s="41"/>
      <c r="C155" s="10"/>
    </row>
    <row r="156" spans="2:4" x14ac:dyDescent="0.2">
      <c r="B156" s="41" t="s">
        <v>70</v>
      </c>
      <c r="C156" s="43">
        <v>1</v>
      </c>
      <c r="D156" s="44" t="s">
        <v>212</v>
      </c>
    </row>
    <row r="157" spans="2:4" x14ac:dyDescent="0.2">
      <c r="B157" s="45" t="s">
        <v>213</v>
      </c>
      <c r="C157" s="43">
        <v>1</v>
      </c>
      <c r="D157" s="44" t="s">
        <v>212</v>
      </c>
    </row>
    <row r="158" spans="2:4" x14ac:dyDescent="0.2">
      <c r="B158" s="46" t="s">
        <v>214</v>
      </c>
      <c r="C158" s="43">
        <v>1</v>
      </c>
      <c r="D158" s="44" t="s">
        <v>212</v>
      </c>
    </row>
    <row r="159" spans="2:4" x14ac:dyDescent="0.2">
      <c r="B159" s="46" t="s">
        <v>215</v>
      </c>
      <c r="C159" s="43">
        <v>1</v>
      </c>
      <c r="D159" s="44" t="s">
        <v>212</v>
      </c>
    </row>
    <row r="160" spans="2:4" x14ac:dyDescent="0.2">
      <c r="B160" s="46" t="s">
        <v>216</v>
      </c>
      <c r="C160" s="43">
        <v>1</v>
      </c>
      <c r="D160" s="44" t="s">
        <v>212</v>
      </c>
    </row>
    <row r="161" spans="2:4" x14ac:dyDescent="0.2">
      <c r="B161" s="46" t="s">
        <v>217</v>
      </c>
      <c r="C161" s="43">
        <v>1</v>
      </c>
      <c r="D161" s="44" t="s">
        <v>212</v>
      </c>
    </row>
    <row r="162" spans="2:4" x14ac:dyDescent="0.2">
      <c r="B162" s="46" t="s">
        <v>218</v>
      </c>
      <c r="C162" s="43">
        <v>1</v>
      </c>
      <c r="D162" s="44" t="s">
        <v>212</v>
      </c>
    </row>
    <row r="163" spans="2:4" x14ac:dyDescent="0.2">
      <c r="B163" s="46" t="s">
        <v>219</v>
      </c>
      <c r="C163" s="43">
        <v>2</v>
      </c>
      <c r="D163" s="44" t="s">
        <v>85</v>
      </c>
    </row>
    <row r="164" spans="2:4" x14ac:dyDescent="0.2">
      <c r="B164" s="46" t="s">
        <v>220</v>
      </c>
      <c r="C164" s="43">
        <v>2</v>
      </c>
      <c r="D164" s="44" t="s">
        <v>85</v>
      </c>
    </row>
    <row r="165" spans="2:4" x14ac:dyDescent="0.2">
      <c r="B165" s="46" t="s">
        <v>221</v>
      </c>
      <c r="C165" s="43">
        <v>2</v>
      </c>
      <c r="D165" s="44" t="s">
        <v>85</v>
      </c>
    </row>
    <row r="166" spans="2:4" x14ac:dyDescent="0.2">
      <c r="B166" s="46" t="s">
        <v>65</v>
      </c>
      <c r="C166" s="43">
        <v>1</v>
      </c>
      <c r="D166" s="44" t="s">
        <v>212</v>
      </c>
    </row>
    <row r="167" spans="2:4" x14ac:dyDescent="0.2">
      <c r="B167" s="46" t="s">
        <v>222</v>
      </c>
      <c r="C167" s="43">
        <v>2</v>
      </c>
      <c r="D167" s="44" t="s">
        <v>85</v>
      </c>
    </row>
    <row r="168" spans="2:4" x14ac:dyDescent="0.2">
      <c r="B168" s="46" t="s">
        <v>223</v>
      </c>
      <c r="C168" s="43">
        <v>2</v>
      </c>
      <c r="D168" s="44" t="s">
        <v>85</v>
      </c>
    </row>
    <row r="169" spans="2:4" x14ac:dyDescent="0.2">
      <c r="B169" s="46" t="s">
        <v>224</v>
      </c>
      <c r="C169" s="43">
        <v>2</v>
      </c>
      <c r="D169" s="44" t="s">
        <v>85</v>
      </c>
    </row>
    <row r="170" spans="2:4" x14ac:dyDescent="0.2">
      <c r="B170" s="46" t="s">
        <v>225</v>
      </c>
      <c r="C170" s="43">
        <v>2</v>
      </c>
      <c r="D170" s="44" t="s">
        <v>85</v>
      </c>
    </row>
    <row r="171" spans="2:4" x14ac:dyDescent="0.2">
      <c r="B171" s="57" t="s">
        <v>226</v>
      </c>
      <c r="C171" s="43">
        <v>2</v>
      </c>
      <c r="D171" s="44" t="s">
        <v>85</v>
      </c>
    </row>
    <row r="172" spans="2:4" x14ac:dyDescent="0.2">
      <c r="B172" s="46" t="s">
        <v>227</v>
      </c>
      <c r="C172" s="43">
        <v>2</v>
      </c>
      <c r="D172" s="44" t="s">
        <v>85</v>
      </c>
    </row>
    <row r="173" spans="2:4" x14ac:dyDescent="0.2">
      <c r="B173" s="46" t="s">
        <v>228</v>
      </c>
      <c r="C173" s="43">
        <v>2</v>
      </c>
      <c r="D173" s="44" t="s">
        <v>85</v>
      </c>
    </row>
    <row r="174" spans="2:4" x14ac:dyDescent="0.2">
      <c r="B174" s="46" t="s">
        <v>229</v>
      </c>
      <c r="C174" s="43">
        <v>2</v>
      </c>
      <c r="D174" s="44" t="s">
        <v>85</v>
      </c>
    </row>
    <row r="175" spans="2:4" x14ac:dyDescent="0.2">
      <c r="B175" s="46" t="s">
        <v>230</v>
      </c>
      <c r="C175" s="43">
        <v>2</v>
      </c>
      <c r="D175" s="44" t="s">
        <v>85</v>
      </c>
    </row>
    <row r="176" spans="2:4" x14ac:dyDescent="0.2">
      <c r="B176" s="46" t="s">
        <v>231</v>
      </c>
      <c r="C176" s="43">
        <v>2</v>
      </c>
      <c r="D176" s="44" t="s">
        <v>85</v>
      </c>
    </row>
    <row r="177" spans="2:4" x14ac:dyDescent="0.2">
      <c r="B177" s="46" t="s">
        <v>232</v>
      </c>
      <c r="C177" s="43">
        <v>2</v>
      </c>
      <c r="D177" s="44" t="s">
        <v>85</v>
      </c>
    </row>
    <row r="178" spans="2:4" x14ac:dyDescent="0.2">
      <c r="B178" s="46" t="s">
        <v>233</v>
      </c>
      <c r="C178" s="43">
        <v>2</v>
      </c>
      <c r="D178" s="44" t="s">
        <v>85</v>
      </c>
    </row>
    <row r="179" spans="2:4" x14ac:dyDescent="0.2">
      <c r="B179" s="46" t="s">
        <v>234</v>
      </c>
      <c r="C179" s="43">
        <v>2</v>
      </c>
      <c r="D179" s="44" t="s">
        <v>85</v>
      </c>
    </row>
    <row r="180" spans="2:4" x14ac:dyDescent="0.2">
      <c r="B180" s="46" t="s">
        <v>235</v>
      </c>
      <c r="C180" s="43">
        <v>2</v>
      </c>
      <c r="D180" s="44" t="s">
        <v>85</v>
      </c>
    </row>
    <row r="181" spans="2:4" x14ac:dyDescent="0.2">
      <c r="B181" s="46" t="s">
        <v>236</v>
      </c>
      <c r="C181" s="43">
        <v>2</v>
      </c>
      <c r="D181" s="44" t="s">
        <v>85</v>
      </c>
    </row>
    <row r="182" spans="2:4" x14ac:dyDescent="0.2">
      <c r="B182" s="46" t="s">
        <v>237</v>
      </c>
      <c r="C182" s="43">
        <v>2</v>
      </c>
      <c r="D182" s="44" t="s">
        <v>85</v>
      </c>
    </row>
    <row r="183" spans="2:4" x14ac:dyDescent="0.2">
      <c r="B183" s="45" t="s">
        <v>238</v>
      </c>
      <c r="C183" s="43">
        <v>2</v>
      </c>
      <c r="D183" s="44" t="s">
        <v>85</v>
      </c>
    </row>
    <row r="184" spans="2:4" x14ac:dyDescent="0.2">
      <c r="B184" s="46" t="s">
        <v>239</v>
      </c>
      <c r="C184" s="43">
        <v>1</v>
      </c>
      <c r="D184" s="44" t="s">
        <v>212</v>
      </c>
    </row>
    <row r="185" spans="2:4" x14ac:dyDescent="0.2">
      <c r="B185" s="46" t="s">
        <v>240</v>
      </c>
      <c r="C185" s="43">
        <v>2</v>
      </c>
      <c r="D185" s="44" t="s">
        <v>85</v>
      </c>
    </row>
    <row r="186" spans="2:4" x14ac:dyDescent="0.2">
      <c r="B186" s="46" t="s">
        <v>241</v>
      </c>
      <c r="C186" s="43">
        <v>2</v>
      </c>
      <c r="D186" s="44" t="s">
        <v>85</v>
      </c>
    </row>
    <row r="187" spans="2:4" x14ac:dyDescent="0.2">
      <c r="B187" s="47"/>
      <c r="C187" s="43"/>
      <c r="D187" s="44"/>
    </row>
    <row r="188" spans="2:4" x14ac:dyDescent="0.2">
      <c r="B188" s="23" t="s">
        <v>46</v>
      </c>
      <c r="C188" s="66" t="s">
        <v>28</v>
      </c>
      <c r="D188" s="67" t="s">
        <v>82</v>
      </c>
    </row>
    <row r="189" spans="2:4" x14ac:dyDescent="0.2">
      <c r="B189" s="41"/>
      <c r="C189" s="43"/>
    </row>
    <row r="190" spans="2:4" x14ac:dyDescent="0.2">
      <c r="B190" s="41" t="s">
        <v>71</v>
      </c>
      <c r="C190" s="43">
        <v>2</v>
      </c>
      <c r="D190" s="44" t="s">
        <v>85</v>
      </c>
    </row>
    <row r="191" spans="2:4" x14ac:dyDescent="0.2">
      <c r="B191" s="45" t="s">
        <v>242</v>
      </c>
      <c r="C191" s="43">
        <v>2</v>
      </c>
      <c r="D191" s="44" t="s">
        <v>85</v>
      </c>
    </row>
    <row r="192" spans="2:4" x14ac:dyDescent="0.2">
      <c r="B192" s="42" t="s">
        <v>243</v>
      </c>
      <c r="C192" s="43">
        <v>2</v>
      </c>
      <c r="D192" s="44" t="s">
        <v>85</v>
      </c>
    </row>
    <row r="193" spans="2:4" x14ac:dyDescent="0.2">
      <c r="B193" s="45" t="s">
        <v>244</v>
      </c>
      <c r="C193" s="43">
        <v>2</v>
      </c>
      <c r="D193" s="44" t="s">
        <v>85</v>
      </c>
    </row>
    <row r="194" spans="2:4" x14ac:dyDescent="0.2">
      <c r="B194" s="42" t="s">
        <v>245</v>
      </c>
      <c r="C194" s="43">
        <v>2</v>
      </c>
      <c r="D194" s="44" t="s">
        <v>85</v>
      </c>
    </row>
    <row r="195" spans="2:4" x14ac:dyDescent="0.2">
      <c r="B195" s="45" t="s">
        <v>246</v>
      </c>
      <c r="C195" s="43">
        <v>2</v>
      </c>
      <c r="D195" s="44" t="s">
        <v>85</v>
      </c>
    </row>
    <row r="196" spans="2:4" x14ac:dyDescent="0.2">
      <c r="B196" s="45" t="s">
        <v>247</v>
      </c>
      <c r="C196" s="43">
        <v>2</v>
      </c>
      <c r="D196" s="44" t="s">
        <v>85</v>
      </c>
    </row>
    <row r="197" spans="2:4" x14ac:dyDescent="0.2">
      <c r="B197" s="42" t="s">
        <v>66</v>
      </c>
      <c r="C197" s="43">
        <v>2</v>
      </c>
      <c r="D197" s="44" t="s">
        <v>85</v>
      </c>
    </row>
    <row r="198" spans="2:4" x14ac:dyDescent="0.2">
      <c r="B198" s="41" t="s">
        <v>248</v>
      </c>
      <c r="C198" s="43">
        <v>2</v>
      </c>
      <c r="D198" s="44" t="s">
        <v>85</v>
      </c>
    </row>
    <row r="199" spans="2:4" x14ac:dyDescent="0.2">
      <c r="B199" s="46" t="s">
        <v>249</v>
      </c>
      <c r="C199" s="43">
        <v>2</v>
      </c>
      <c r="D199" s="44" t="s">
        <v>85</v>
      </c>
    </row>
    <row r="200" spans="2:4" x14ac:dyDescent="0.2">
      <c r="B200" s="41" t="s">
        <v>250</v>
      </c>
      <c r="C200" s="43">
        <v>2</v>
      </c>
      <c r="D200" s="44" t="s">
        <v>85</v>
      </c>
    </row>
    <row r="201" spans="2:4" x14ac:dyDescent="0.2">
      <c r="B201" s="46" t="s">
        <v>251</v>
      </c>
      <c r="C201" s="43">
        <v>2</v>
      </c>
      <c r="D201" s="44" t="s">
        <v>85</v>
      </c>
    </row>
    <row r="202" spans="2:4" x14ac:dyDescent="0.2">
      <c r="B202" s="41" t="s">
        <v>252</v>
      </c>
      <c r="C202" s="43">
        <v>2</v>
      </c>
      <c r="D202" s="44" t="s">
        <v>85</v>
      </c>
    </row>
    <row r="203" spans="2:4" x14ac:dyDescent="0.2">
      <c r="B203" s="41" t="s">
        <v>253</v>
      </c>
      <c r="C203" s="43">
        <v>2</v>
      </c>
      <c r="D203" s="44" t="s">
        <v>85</v>
      </c>
    </row>
    <row r="204" spans="2:4" x14ac:dyDescent="0.2">
      <c r="B204" s="46" t="s">
        <v>254</v>
      </c>
      <c r="C204" s="43">
        <v>2</v>
      </c>
      <c r="D204" s="44" t="s">
        <v>85</v>
      </c>
    </row>
    <row r="205" spans="2:4" x14ac:dyDescent="0.2">
      <c r="B205" s="47"/>
      <c r="C205" s="43"/>
      <c r="D205" s="44"/>
    </row>
    <row r="206" spans="2:4" x14ac:dyDescent="0.2">
      <c r="B206" s="31" t="s">
        <v>353</v>
      </c>
      <c r="C206" s="68" t="s">
        <v>28</v>
      </c>
      <c r="D206" s="69" t="s">
        <v>82</v>
      </c>
    </row>
    <row r="207" spans="2:4" x14ac:dyDescent="0.2">
      <c r="B207" s="41"/>
      <c r="C207" s="43"/>
    </row>
    <row r="208" spans="2:4" x14ac:dyDescent="0.2">
      <c r="B208" s="45" t="s">
        <v>255</v>
      </c>
      <c r="C208" s="43">
        <v>2</v>
      </c>
      <c r="D208" s="44" t="s">
        <v>94</v>
      </c>
    </row>
    <row r="209" spans="2:4" x14ac:dyDescent="0.2">
      <c r="B209" s="46" t="s">
        <v>64</v>
      </c>
      <c r="C209" s="43">
        <v>1</v>
      </c>
      <c r="D209" s="44" t="s">
        <v>164</v>
      </c>
    </row>
    <row r="210" spans="2:4" x14ac:dyDescent="0.2">
      <c r="B210" s="46" t="s">
        <v>354</v>
      </c>
      <c r="C210" s="43">
        <v>1</v>
      </c>
      <c r="D210" s="44" t="s">
        <v>87</v>
      </c>
    </row>
    <row r="211" spans="2:4" x14ac:dyDescent="0.2">
      <c r="B211" s="46" t="s">
        <v>356</v>
      </c>
      <c r="C211" s="43">
        <v>1</v>
      </c>
      <c r="D211" s="44" t="s">
        <v>164</v>
      </c>
    </row>
    <row r="212" spans="2:4" x14ac:dyDescent="0.2">
      <c r="B212" s="46" t="s">
        <v>355</v>
      </c>
      <c r="C212" s="43">
        <v>1</v>
      </c>
      <c r="D212" s="44" t="s">
        <v>357</v>
      </c>
    </row>
    <row r="213" spans="2:4" x14ac:dyDescent="0.2">
      <c r="B213" s="46" t="s">
        <v>69</v>
      </c>
      <c r="C213" s="43">
        <v>1</v>
      </c>
      <c r="D213" s="44" t="s">
        <v>164</v>
      </c>
    </row>
    <row r="214" spans="2:4" x14ac:dyDescent="0.2">
      <c r="B214" s="46" t="s">
        <v>358</v>
      </c>
      <c r="C214" s="43">
        <v>1</v>
      </c>
      <c r="D214" s="44" t="s">
        <v>94</v>
      </c>
    </row>
    <row r="215" spans="2:4" x14ac:dyDescent="0.2">
      <c r="B215" s="46" t="s">
        <v>359</v>
      </c>
      <c r="C215" s="43">
        <v>2</v>
      </c>
      <c r="D215" s="44" t="s">
        <v>94</v>
      </c>
    </row>
    <row r="216" spans="2:4" x14ac:dyDescent="0.2">
      <c r="B216" s="46" t="s">
        <v>360</v>
      </c>
      <c r="C216" s="43">
        <v>1</v>
      </c>
      <c r="D216" s="44" t="s">
        <v>361</v>
      </c>
    </row>
    <row r="217" spans="2:4" x14ac:dyDescent="0.2">
      <c r="B217" s="46" t="s">
        <v>58</v>
      </c>
      <c r="C217" s="43">
        <v>6</v>
      </c>
      <c r="D217" s="44" t="s">
        <v>362</v>
      </c>
    </row>
    <row r="218" spans="2:4" x14ac:dyDescent="0.2">
      <c r="B218" s="46" t="s">
        <v>402</v>
      </c>
      <c r="C218" s="43">
        <v>1</v>
      </c>
      <c r="D218" s="44" t="s">
        <v>363</v>
      </c>
    </row>
    <row r="219" spans="2:4" x14ac:dyDescent="0.2">
      <c r="B219" s="46" t="s">
        <v>256</v>
      </c>
      <c r="C219" s="43">
        <v>1</v>
      </c>
      <c r="D219" s="44" t="s">
        <v>257</v>
      </c>
    </row>
    <row r="220" spans="2:4" x14ac:dyDescent="0.2">
      <c r="B220" s="47"/>
      <c r="C220" s="43"/>
      <c r="D220" s="44"/>
    </row>
    <row r="221" spans="2:4" x14ac:dyDescent="0.2">
      <c r="B221" s="32" t="s">
        <v>49</v>
      </c>
      <c r="C221" s="70" t="s">
        <v>28</v>
      </c>
      <c r="D221" s="71" t="s">
        <v>82</v>
      </c>
    </row>
    <row r="222" spans="2:4" x14ac:dyDescent="0.2">
      <c r="B222" s="41"/>
      <c r="C222" s="43"/>
    </row>
    <row r="223" spans="2:4" x14ac:dyDescent="0.2">
      <c r="B223" s="45" t="s">
        <v>258</v>
      </c>
      <c r="C223" s="43">
        <v>3</v>
      </c>
      <c r="D223" s="44" t="s">
        <v>147</v>
      </c>
    </row>
    <row r="224" spans="2:4" x14ac:dyDescent="0.2">
      <c r="B224" s="46" t="s">
        <v>259</v>
      </c>
      <c r="C224" s="43">
        <v>3</v>
      </c>
      <c r="D224" s="44" t="s">
        <v>260</v>
      </c>
    </row>
    <row r="225" spans="2:4" x14ac:dyDescent="0.2">
      <c r="B225" s="46" t="s">
        <v>261</v>
      </c>
      <c r="C225" s="43">
        <v>2</v>
      </c>
      <c r="D225" s="44" t="s">
        <v>128</v>
      </c>
    </row>
    <row r="226" spans="2:4" x14ac:dyDescent="0.2">
      <c r="B226" s="46" t="s">
        <v>351</v>
      </c>
      <c r="C226" s="43">
        <v>1</v>
      </c>
      <c r="D226" s="44" t="s">
        <v>94</v>
      </c>
    </row>
    <row r="227" spans="2:4" x14ac:dyDescent="0.2">
      <c r="B227" s="46" t="s">
        <v>58</v>
      </c>
      <c r="C227" s="43">
        <v>2</v>
      </c>
      <c r="D227" s="44" t="s">
        <v>171</v>
      </c>
    </row>
    <row r="228" spans="2:4" x14ac:dyDescent="0.2">
      <c r="B228" s="46" t="s">
        <v>262</v>
      </c>
      <c r="C228" s="43">
        <v>1</v>
      </c>
      <c r="D228" s="44" t="s">
        <v>171</v>
      </c>
    </row>
    <row r="229" spans="2:4" x14ac:dyDescent="0.2">
      <c r="B229" s="46" t="s">
        <v>263</v>
      </c>
      <c r="C229" s="43">
        <v>2</v>
      </c>
      <c r="D229" s="44" t="s">
        <v>171</v>
      </c>
    </row>
    <row r="230" spans="2:4" x14ac:dyDescent="0.2">
      <c r="B230" s="46" t="s">
        <v>264</v>
      </c>
      <c r="C230" s="43">
        <v>1</v>
      </c>
      <c r="D230" s="44" t="s">
        <v>94</v>
      </c>
    </row>
    <row r="231" spans="2:4" x14ac:dyDescent="0.2">
      <c r="B231" s="46" t="s">
        <v>265</v>
      </c>
      <c r="C231" s="43">
        <v>0.5</v>
      </c>
      <c r="D231" s="44" t="s">
        <v>266</v>
      </c>
    </row>
    <row r="232" spans="2:4" x14ac:dyDescent="0.2">
      <c r="B232" s="47"/>
      <c r="C232" s="43"/>
      <c r="D232" s="44"/>
    </row>
    <row r="233" spans="2:4" x14ac:dyDescent="0.2">
      <c r="B233" s="33" t="s">
        <v>50</v>
      </c>
      <c r="C233" s="72" t="s">
        <v>28</v>
      </c>
      <c r="D233" s="73" t="s">
        <v>82</v>
      </c>
    </row>
    <row r="234" spans="2:4" x14ac:dyDescent="0.2">
      <c r="B234" s="41"/>
      <c r="C234" s="43"/>
    </row>
    <row r="235" spans="2:4" x14ac:dyDescent="0.2">
      <c r="B235" s="45" t="s">
        <v>63</v>
      </c>
      <c r="C235" s="43">
        <v>1</v>
      </c>
      <c r="D235" t="s">
        <v>267</v>
      </c>
    </row>
    <row r="236" spans="2:4" x14ac:dyDescent="0.2">
      <c r="B236" s="46" t="s">
        <v>268</v>
      </c>
      <c r="C236" s="43">
        <v>1.5</v>
      </c>
      <c r="D236" t="s">
        <v>87</v>
      </c>
    </row>
    <row r="237" spans="2:4" x14ac:dyDescent="0.2">
      <c r="B237" s="46" t="s">
        <v>269</v>
      </c>
      <c r="C237" s="43">
        <v>2</v>
      </c>
      <c r="D237" t="s">
        <v>87</v>
      </c>
    </row>
    <row r="238" spans="2:4" x14ac:dyDescent="0.2">
      <c r="B238" s="46" t="s">
        <v>270</v>
      </c>
      <c r="C238" s="43">
        <v>1.5</v>
      </c>
      <c r="D238" t="s">
        <v>87</v>
      </c>
    </row>
    <row r="239" spans="2:4" x14ac:dyDescent="0.2">
      <c r="B239" s="47"/>
      <c r="C239" s="43"/>
    </row>
    <row r="240" spans="2:4" x14ac:dyDescent="0.2">
      <c r="B240" s="35" t="s">
        <v>392</v>
      </c>
      <c r="C240" s="74" t="s">
        <v>28</v>
      </c>
      <c r="D240" s="75" t="s">
        <v>82</v>
      </c>
    </row>
    <row r="241" spans="2:4" x14ac:dyDescent="0.2">
      <c r="B241" s="41"/>
      <c r="C241" s="43"/>
    </row>
    <row r="242" spans="2:4" x14ac:dyDescent="0.2">
      <c r="B242" s="45" t="s">
        <v>382</v>
      </c>
      <c r="C242" s="43">
        <v>2</v>
      </c>
      <c r="D242" s="44" t="s">
        <v>85</v>
      </c>
    </row>
    <row r="243" spans="2:4" x14ac:dyDescent="0.2">
      <c r="B243" s="46" t="s">
        <v>383</v>
      </c>
      <c r="C243" s="43">
        <v>2</v>
      </c>
      <c r="D243" s="44" t="s">
        <v>85</v>
      </c>
    </row>
    <row r="244" spans="2:4" x14ac:dyDescent="0.2">
      <c r="B244" s="46" t="s">
        <v>384</v>
      </c>
      <c r="C244" s="43">
        <v>2</v>
      </c>
      <c r="D244" t="s">
        <v>85</v>
      </c>
    </row>
    <row r="245" spans="2:4" x14ac:dyDescent="0.2">
      <c r="B245" s="46" t="s">
        <v>385</v>
      </c>
      <c r="C245" s="43">
        <v>2</v>
      </c>
      <c r="D245" s="44" t="s">
        <v>85</v>
      </c>
    </row>
    <row r="246" spans="2:4" x14ac:dyDescent="0.2">
      <c r="B246" s="46" t="s">
        <v>386</v>
      </c>
      <c r="C246" s="43">
        <v>2</v>
      </c>
      <c r="D246" s="44" t="s">
        <v>85</v>
      </c>
    </row>
    <row r="247" spans="2:4" x14ac:dyDescent="0.2">
      <c r="B247" s="46" t="s">
        <v>387</v>
      </c>
      <c r="C247" s="43">
        <v>2</v>
      </c>
      <c r="D247" s="44" t="s">
        <v>85</v>
      </c>
    </row>
    <row r="248" spans="2:4" x14ac:dyDescent="0.2">
      <c r="B248" s="46" t="s">
        <v>388</v>
      </c>
      <c r="C248" s="43">
        <v>2</v>
      </c>
      <c r="D248" s="44" t="s">
        <v>85</v>
      </c>
    </row>
    <row r="249" spans="2:4" x14ac:dyDescent="0.2">
      <c r="B249" s="46" t="s">
        <v>342</v>
      </c>
      <c r="C249" s="43">
        <v>2</v>
      </c>
      <c r="D249" t="s">
        <v>85</v>
      </c>
    </row>
    <row r="250" spans="2:4" x14ac:dyDescent="0.2">
      <c r="B250" s="76" t="s">
        <v>389</v>
      </c>
      <c r="C250" s="43">
        <v>2</v>
      </c>
      <c r="D250" s="44" t="s">
        <v>85</v>
      </c>
    </row>
    <row r="251" spans="2:4" x14ac:dyDescent="0.2">
      <c r="B251" s="76" t="s">
        <v>390</v>
      </c>
      <c r="C251" s="43">
        <v>2</v>
      </c>
      <c r="D251" s="44" t="s">
        <v>85</v>
      </c>
    </row>
    <row r="252" spans="2:4" x14ac:dyDescent="0.2">
      <c r="B252" s="76" t="s">
        <v>391</v>
      </c>
      <c r="C252" s="43">
        <v>2</v>
      </c>
      <c r="D252" s="44" t="s">
        <v>85</v>
      </c>
    </row>
    <row r="253" spans="2:4" x14ac:dyDescent="0.2">
      <c r="B253" s="77"/>
      <c r="C253" s="43"/>
    </row>
    <row r="254" spans="2:4" x14ac:dyDescent="0.2">
      <c r="B254" s="34" t="s">
        <v>78</v>
      </c>
      <c r="C254" s="78" t="s">
        <v>28</v>
      </c>
      <c r="D254" s="79" t="s">
        <v>82</v>
      </c>
    </row>
    <row r="255" spans="2:4" x14ac:dyDescent="0.2">
      <c r="B255" s="41"/>
      <c r="C255" s="43"/>
    </row>
    <row r="256" spans="2:4" x14ac:dyDescent="0.2">
      <c r="B256" s="46" t="s">
        <v>364</v>
      </c>
      <c r="C256" s="43">
        <v>1</v>
      </c>
      <c r="D256" t="s">
        <v>85</v>
      </c>
    </row>
    <row r="257" spans="2:4" x14ac:dyDescent="0.2">
      <c r="B257" s="46" t="s">
        <v>272</v>
      </c>
      <c r="C257" s="43">
        <v>4</v>
      </c>
      <c r="D257" t="s">
        <v>94</v>
      </c>
    </row>
    <row r="258" spans="2:4" x14ac:dyDescent="0.2">
      <c r="B258" s="46" t="s">
        <v>365</v>
      </c>
      <c r="C258" s="43">
        <v>4</v>
      </c>
      <c r="D258" t="s">
        <v>85</v>
      </c>
    </row>
    <row r="259" spans="2:4" x14ac:dyDescent="0.2">
      <c r="B259" s="46" t="s">
        <v>273</v>
      </c>
      <c r="C259" s="43">
        <v>7</v>
      </c>
      <c r="D259" t="s">
        <v>94</v>
      </c>
    </row>
    <row r="260" spans="2:4" x14ac:dyDescent="0.2">
      <c r="B260" s="46" t="s">
        <v>274</v>
      </c>
      <c r="C260" s="43">
        <v>3</v>
      </c>
      <c r="D260" t="s">
        <v>94</v>
      </c>
    </row>
    <row r="261" spans="2:4" x14ac:dyDescent="0.2">
      <c r="B261" s="46" t="s">
        <v>366</v>
      </c>
      <c r="C261" s="43">
        <v>4</v>
      </c>
      <c r="D261" s="44" t="s">
        <v>94</v>
      </c>
    </row>
    <row r="262" spans="2:4" x14ac:dyDescent="0.2">
      <c r="B262" s="46" t="s">
        <v>367</v>
      </c>
      <c r="C262" s="43">
        <v>4</v>
      </c>
      <c r="D262" s="44" t="s">
        <v>94</v>
      </c>
    </row>
    <row r="263" spans="2:4" x14ac:dyDescent="0.2">
      <c r="B263" s="46" t="s">
        <v>368</v>
      </c>
      <c r="C263" s="43">
        <v>4</v>
      </c>
      <c r="D263" s="44" t="s">
        <v>94</v>
      </c>
    </row>
    <row r="264" spans="2:4" x14ac:dyDescent="0.2">
      <c r="B264" s="46" t="s">
        <v>369</v>
      </c>
      <c r="C264" s="43">
        <v>5</v>
      </c>
      <c r="D264" s="44" t="s">
        <v>94</v>
      </c>
    </row>
    <row r="265" spans="2:4" x14ac:dyDescent="0.2">
      <c r="B265" s="46" t="s">
        <v>370</v>
      </c>
      <c r="C265" s="43">
        <v>2</v>
      </c>
      <c r="D265" t="s">
        <v>275</v>
      </c>
    </row>
    <row r="266" spans="2:4" x14ac:dyDescent="0.2">
      <c r="B266" s="46" t="s">
        <v>276</v>
      </c>
      <c r="C266" s="43">
        <v>2</v>
      </c>
      <c r="D266" t="s">
        <v>275</v>
      </c>
    </row>
    <row r="267" spans="2:4" x14ac:dyDescent="0.2">
      <c r="B267" s="46" t="s">
        <v>371</v>
      </c>
      <c r="C267" s="43">
        <v>1</v>
      </c>
      <c r="D267" s="44" t="s">
        <v>372</v>
      </c>
    </row>
    <row r="268" spans="2:4" x14ac:dyDescent="0.2">
      <c r="B268" s="41" t="s">
        <v>277</v>
      </c>
      <c r="C268" s="43">
        <v>1</v>
      </c>
      <c r="D268" t="s">
        <v>85</v>
      </c>
    </row>
    <row r="269" spans="2:4" x14ac:dyDescent="0.2">
      <c r="B269" s="50"/>
      <c r="C269" s="43"/>
    </row>
    <row r="270" spans="2:4" x14ac:dyDescent="0.2">
      <c r="B270" s="36" t="s">
        <v>79</v>
      </c>
      <c r="C270" s="80" t="s">
        <v>28</v>
      </c>
      <c r="D270" s="81" t="s">
        <v>82</v>
      </c>
    </row>
    <row r="271" spans="2:4" x14ac:dyDescent="0.2">
      <c r="B271" s="41"/>
      <c r="C271" s="43"/>
    </row>
    <row r="272" spans="2:4" x14ac:dyDescent="0.2">
      <c r="B272" s="41" t="s">
        <v>278</v>
      </c>
      <c r="C272" s="43">
        <v>1</v>
      </c>
      <c r="D272" t="s">
        <v>279</v>
      </c>
    </row>
    <row r="273" spans="2:4" x14ac:dyDescent="0.2">
      <c r="B273" s="41" t="s">
        <v>397</v>
      </c>
      <c r="C273" s="43">
        <v>1</v>
      </c>
      <c r="D273" s="44" t="s">
        <v>394</v>
      </c>
    </row>
    <row r="274" spans="2:4" x14ac:dyDescent="0.2">
      <c r="B274" s="41" t="s">
        <v>280</v>
      </c>
      <c r="C274" s="43">
        <v>1</v>
      </c>
      <c r="D274" s="44" t="s">
        <v>281</v>
      </c>
    </row>
    <row r="275" spans="2:4" x14ac:dyDescent="0.2">
      <c r="B275" s="41" t="s">
        <v>282</v>
      </c>
      <c r="C275" s="43">
        <v>1</v>
      </c>
      <c r="D275" t="s">
        <v>283</v>
      </c>
    </row>
    <row r="276" spans="2:4" x14ac:dyDescent="0.2">
      <c r="B276" s="41" t="s">
        <v>398</v>
      </c>
      <c r="C276" s="43">
        <v>1</v>
      </c>
      <c r="D276" t="s">
        <v>284</v>
      </c>
    </row>
    <row r="277" spans="2:4" x14ac:dyDescent="0.2">
      <c r="B277" s="41" t="s">
        <v>350</v>
      </c>
      <c r="C277" s="43">
        <v>1</v>
      </c>
      <c r="D277" s="44" t="s">
        <v>271</v>
      </c>
    </row>
    <row r="278" spans="2:4" x14ac:dyDescent="0.2">
      <c r="B278" s="41" t="s">
        <v>285</v>
      </c>
      <c r="C278" s="43">
        <v>1</v>
      </c>
      <c r="D278" s="44" t="s">
        <v>271</v>
      </c>
    </row>
    <row r="279" spans="2:4" x14ac:dyDescent="0.2">
      <c r="B279" s="41" t="s">
        <v>286</v>
      </c>
      <c r="C279" s="43">
        <v>1</v>
      </c>
      <c r="D279" s="44" t="s">
        <v>283</v>
      </c>
    </row>
    <row r="280" spans="2:4" x14ac:dyDescent="0.2">
      <c r="B280" s="11"/>
      <c r="C280" s="10"/>
    </row>
    <row r="281" spans="2:4" x14ac:dyDescent="0.2">
      <c r="B281" s="37" t="s">
        <v>80</v>
      </c>
      <c r="C281" s="82" t="s">
        <v>28</v>
      </c>
      <c r="D281" s="83" t="s">
        <v>82</v>
      </c>
    </row>
    <row r="282" spans="2:4" x14ac:dyDescent="0.2">
      <c r="B282" s="41"/>
      <c r="C282" s="43"/>
    </row>
    <row r="283" spans="2:4" x14ac:dyDescent="0.2">
      <c r="B283" s="41" t="s">
        <v>287</v>
      </c>
      <c r="C283" s="43">
        <v>1.5</v>
      </c>
      <c r="D283" s="44" t="s">
        <v>288</v>
      </c>
    </row>
    <row r="284" spans="2:4" x14ac:dyDescent="0.2">
      <c r="B284" s="41" t="s">
        <v>289</v>
      </c>
      <c r="C284" s="43">
        <v>1</v>
      </c>
      <c r="D284" s="44" t="s">
        <v>167</v>
      </c>
    </row>
    <row r="285" spans="2:4" x14ac:dyDescent="0.2">
      <c r="B285" s="41" t="s">
        <v>290</v>
      </c>
      <c r="C285" s="43">
        <v>4</v>
      </c>
      <c r="D285" s="44" t="s">
        <v>291</v>
      </c>
    </row>
    <row r="286" spans="2:4" x14ac:dyDescent="0.2">
      <c r="B286" s="41" t="s">
        <v>292</v>
      </c>
      <c r="C286" s="43">
        <v>2</v>
      </c>
      <c r="D286" t="s">
        <v>175</v>
      </c>
    </row>
    <row r="287" spans="2:4" x14ac:dyDescent="0.2">
      <c r="B287" s="41" t="s">
        <v>293</v>
      </c>
      <c r="C287" s="43">
        <v>2</v>
      </c>
      <c r="D287" t="s">
        <v>294</v>
      </c>
    </row>
    <row r="288" spans="2:4" x14ac:dyDescent="0.2">
      <c r="B288" s="41" t="s">
        <v>295</v>
      </c>
      <c r="C288" s="43">
        <v>1</v>
      </c>
      <c r="D288" s="44" t="s">
        <v>167</v>
      </c>
    </row>
    <row r="289" spans="2:4" x14ac:dyDescent="0.2">
      <c r="B289" s="41" t="s">
        <v>296</v>
      </c>
      <c r="C289" s="43">
        <v>1</v>
      </c>
      <c r="D289" t="s">
        <v>297</v>
      </c>
    </row>
    <row r="290" spans="2:4" x14ac:dyDescent="0.2">
      <c r="B290" s="41" t="s">
        <v>298</v>
      </c>
      <c r="C290" s="43">
        <v>1</v>
      </c>
      <c r="D290" s="44" t="s">
        <v>299</v>
      </c>
    </row>
    <row r="291" spans="2:4" x14ac:dyDescent="0.2">
      <c r="B291" s="41" t="s">
        <v>300</v>
      </c>
      <c r="C291" s="43">
        <v>2</v>
      </c>
      <c r="D291" s="44" t="s">
        <v>301</v>
      </c>
    </row>
    <row r="292" spans="2:4" x14ac:dyDescent="0.2">
      <c r="B292" s="41" t="s">
        <v>302</v>
      </c>
      <c r="C292" s="43">
        <v>1</v>
      </c>
      <c r="D292" t="s">
        <v>303</v>
      </c>
    </row>
    <row r="293" spans="2:4" x14ac:dyDescent="0.2">
      <c r="B293" s="41" t="s">
        <v>304</v>
      </c>
      <c r="C293" s="43">
        <v>3</v>
      </c>
      <c r="D293" s="44" t="s">
        <v>85</v>
      </c>
    </row>
    <row r="294" spans="2:4" x14ac:dyDescent="0.2">
      <c r="B294" s="41" t="s">
        <v>305</v>
      </c>
      <c r="C294" s="43">
        <v>1</v>
      </c>
      <c r="D294" s="44" t="s">
        <v>306</v>
      </c>
    </row>
    <row r="295" spans="2:4" x14ac:dyDescent="0.2">
      <c r="B295" s="41" t="s">
        <v>307</v>
      </c>
      <c r="C295" s="43">
        <v>2</v>
      </c>
      <c r="D295" s="44" t="s">
        <v>308</v>
      </c>
    </row>
    <row r="296" spans="2:4" x14ac:dyDescent="0.2">
      <c r="B296" s="41" t="s">
        <v>309</v>
      </c>
      <c r="C296" s="43">
        <v>1</v>
      </c>
      <c r="D296" s="44" t="s">
        <v>310</v>
      </c>
    </row>
    <row r="297" spans="2:4" x14ac:dyDescent="0.2">
      <c r="B297" s="41" t="s">
        <v>311</v>
      </c>
      <c r="C297" s="43">
        <v>2</v>
      </c>
      <c r="D297" t="s">
        <v>85</v>
      </c>
    </row>
    <row r="298" spans="2:4" x14ac:dyDescent="0.2">
      <c r="B298" s="41" t="s">
        <v>312</v>
      </c>
      <c r="C298" s="43">
        <v>1</v>
      </c>
      <c r="D298" t="s">
        <v>313</v>
      </c>
    </row>
    <row r="299" spans="2:4" x14ac:dyDescent="0.2">
      <c r="B299" s="41" t="s">
        <v>314</v>
      </c>
      <c r="C299" s="43">
        <v>1</v>
      </c>
      <c r="D299" s="44" t="s">
        <v>315</v>
      </c>
    </row>
    <row r="300" spans="2:4" x14ac:dyDescent="0.2">
      <c r="B300" s="41" t="s">
        <v>316</v>
      </c>
      <c r="C300" s="43">
        <v>2</v>
      </c>
      <c r="D300" s="44" t="s">
        <v>85</v>
      </c>
    </row>
    <row r="301" spans="2:4" x14ac:dyDescent="0.2">
      <c r="B301" s="41" t="s">
        <v>317</v>
      </c>
      <c r="C301" s="43">
        <v>1</v>
      </c>
      <c r="D301" s="44" t="s">
        <v>167</v>
      </c>
    </row>
    <row r="302" spans="2:4" x14ac:dyDescent="0.2">
      <c r="B302" s="41" t="s">
        <v>318</v>
      </c>
      <c r="C302" s="43">
        <v>1</v>
      </c>
      <c r="D302" s="44" t="s">
        <v>297</v>
      </c>
    </row>
    <row r="303" spans="2:4" x14ac:dyDescent="0.2">
      <c r="B303" s="41" t="s">
        <v>319</v>
      </c>
      <c r="C303" s="43">
        <v>1</v>
      </c>
      <c r="D303" s="44" t="s">
        <v>306</v>
      </c>
    </row>
    <row r="304" spans="2:4" x14ac:dyDescent="0.2">
      <c r="B304" s="41" t="s">
        <v>336</v>
      </c>
      <c r="C304" s="43">
        <v>2</v>
      </c>
      <c r="D304" s="44" t="s">
        <v>337</v>
      </c>
    </row>
    <row r="305" spans="2:4" x14ac:dyDescent="0.2">
      <c r="B305" s="11"/>
      <c r="C305" s="10"/>
    </row>
    <row r="306" spans="2:4" x14ac:dyDescent="0.2">
      <c r="B306" s="84" t="s">
        <v>338</v>
      </c>
      <c r="C306" s="85" t="s">
        <v>28</v>
      </c>
      <c r="D306" s="86" t="s">
        <v>82</v>
      </c>
    </row>
    <row r="307" spans="2:4" x14ac:dyDescent="0.2">
      <c r="B307" s="41"/>
      <c r="C307" s="43"/>
    </row>
    <row r="308" spans="2:4" x14ac:dyDescent="0.2">
      <c r="B308" s="41" t="s">
        <v>348</v>
      </c>
      <c r="C308" s="43">
        <v>1</v>
      </c>
      <c r="D308" s="44" t="s">
        <v>343</v>
      </c>
    </row>
    <row r="309" spans="2:4" x14ac:dyDescent="0.2">
      <c r="B309" s="41" t="s">
        <v>339</v>
      </c>
      <c r="C309" s="43">
        <v>1</v>
      </c>
      <c r="D309" s="44" t="s">
        <v>343</v>
      </c>
    </row>
    <row r="310" spans="2:4" x14ac:dyDescent="0.2">
      <c r="B310" s="41" t="s">
        <v>340</v>
      </c>
      <c r="C310" s="43">
        <v>1</v>
      </c>
      <c r="D310" s="44" t="s">
        <v>343</v>
      </c>
    </row>
    <row r="311" spans="2:4" x14ac:dyDescent="0.2">
      <c r="B311" s="41" t="s">
        <v>341</v>
      </c>
      <c r="C311" s="43">
        <v>1</v>
      </c>
      <c r="D311" s="44" t="s">
        <v>343</v>
      </c>
    </row>
    <row r="312" spans="2:4" x14ac:dyDescent="0.2">
      <c r="B312" s="41" t="s">
        <v>342</v>
      </c>
      <c r="C312" s="43">
        <v>1</v>
      </c>
      <c r="D312" s="44" t="s">
        <v>343</v>
      </c>
    </row>
    <row r="313" spans="2:4" x14ac:dyDescent="0.2">
      <c r="B313" s="41"/>
      <c r="C313" s="43"/>
      <c r="D313" s="44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8.83203125" defaultRowHeight="15" x14ac:dyDescent="0.2"/>
  <cols>
    <col min="1" max="1" width="82.6640625" customWidth="1"/>
  </cols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499984740745262"/>
  </sheetPr>
  <dimension ref="A1:Z31"/>
  <sheetViews>
    <sheetView zoomScale="107" workbookViewId="0">
      <selection activeCell="S34" sqref="S34"/>
    </sheetView>
  </sheetViews>
  <sheetFormatPr baseColWidth="10" defaultColWidth="11.5" defaultRowHeight="11" x14ac:dyDescent="0.15"/>
  <cols>
    <col min="1" max="1" width="31.5" style="148" customWidth="1"/>
    <col min="2" max="3" width="13.5" style="148" customWidth="1"/>
    <col min="4" max="4" width="9.1640625" style="148" hidden="1" customWidth="1"/>
    <col min="5" max="5" width="14.33203125" style="148" customWidth="1"/>
    <col min="6" max="6" width="8" style="148" customWidth="1"/>
    <col min="7" max="7" width="7.6640625" style="148" customWidth="1"/>
    <col min="8" max="8" width="9.83203125" style="148" customWidth="1"/>
    <col min="9" max="9" width="10.33203125" style="148" customWidth="1"/>
    <col min="10" max="10" width="8.1640625" style="148" customWidth="1"/>
    <col min="11" max="11" width="7.1640625" style="148" customWidth="1"/>
    <col min="12" max="12" width="7.33203125" style="148" customWidth="1"/>
    <col min="13" max="13" width="9.33203125" style="148" customWidth="1"/>
    <col min="14" max="14" width="7.83203125" style="148" customWidth="1"/>
    <col min="15" max="15" width="7.6640625" style="148" customWidth="1"/>
    <col min="16" max="16" width="6.83203125" style="148" customWidth="1"/>
    <col min="17" max="17" width="7.5" style="148" customWidth="1"/>
    <col min="18" max="18" width="9.5" style="148" customWidth="1"/>
    <col min="19" max="19" width="7.5" style="148" customWidth="1"/>
    <col min="20" max="20" width="7.6640625" style="148" customWidth="1"/>
    <col min="21" max="21" width="19" style="148" customWidth="1"/>
    <col min="22" max="22" width="25.5" style="148" customWidth="1"/>
    <col min="23" max="24" width="9.1640625" style="148" hidden="1" customWidth="1"/>
    <col min="25" max="25" width="6.33203125" style="148" customWidth="1"/>
    <col min="26" max="26" width="9.1640625" style="148" hidden="1" customWidth="1"/>
    <col min="27" max="27" width="5.83203125" style="148" customWidth="1"/>
    <col min="28" max="16384" width="11.5" style="148"/>
  </cols>
  <sheetData>
    <row r="1" spans="1:22" ht="36" customHeight="1" x14ac:dyDescent="0.15">
      <c r="A1" s="158" t="s">
        <v>727</v>
      </c>
      <c r="B1" s="159" t="s">
        <v>726</v>
      </c>
      <c r="C1" s="159" t="s">
        <v>725</v>
      </c>
      <c r="D1" s="159"/>
      <c r="E1" s="153" t="s">
        <v>724</v>
      </c>
      <c r="F1" s="167" t="s">
        <v>723</v>
      </c>
      <c r="G1" s="166" t="s">
        <v>722</v>
      </c>
      <c r="H1" s="167" t="s">
        <v>721</v>
      </c>
      <c r="I1" s="166" t="s">
        <v>716</v>
      </c>
      <c r="J1" s="166" t="s">
        <v>715</v>
      </c>
      <c r="K1" s="165" t="s">
        <v>719</v>
      </c>
      <c r="L1" s="164" t="s">
        <v>718</v>
      </c>
      <c r="M1" s="165" t="s">
        <v>720</v>
      </c>
      <c r="N1" s="164" t="s">
        <v>716</v>
      </c>
      <c r="O1" s="164" t="s">
        <v>715</v>
      </c>
      <c r="P1" s="163" t="s">
        <v>719</v>
      </c>
      <c r="Q1" s="162" t="s">
        <v>718</v>
      </c>
      <c r="R1" s="163" t="s">
        <v>717</v>
      </c>
      <c r="S1" s="162" t="s">
        <v>716</v>
      </c>
      <c r="T1" s="162" t="s">
        <v>715</v>
      </c>
      <c r="U1" s="155" t="s">
        <v>714</v>
      </c>
    </row>
    <row r="2" spans="1:22" x14ac:dyDescent="0.15">
      <c r="A2" s="161" t="s">
        <v>713</v>
      </c>
      <c r="B2" s="159">
        <v>54</v>
      </c>
      <c r="C2" s="159"/>
      <c r="D2" s="159">
        <f t="shared" ref="D2:D15" si="0">POWER(C2,2)</f>
        <v>0</v>
      </c>
      <c r="E2" s="156">
        <f t="shared" ref="E2:E15" si="1">POWER(C2,2)*21</f>
        <v>0</v>
      </c>
      <c r="F2" s="159"/>
      <c r="G2" s="153">
        <f t="shared" ref="G2:G15" si="2">(F2-B2)</f>
        <v>-54</v>
      </c>
      <c r="H2" s="159"/>
      <c r="I2" s="153">
        <f t="shared" ref="I2:I15" si="3">(H2-10)*0.335</f>
        <v>-3.35</v>
      </c>
      <c r="J2" s="156">
        <f t="shared" ref="J2:J15" si="4">B2+I2</f>
        <v>50.65</v>
      </c>
      <c r="K2" s="159"/>
      <c r="L2" s="153">
        <f t="shared" ref="L2:L15" si="5">(K2-F2)</f>
        <v>0</v>
      </c>
      <c r="M2" s="159"/>
      <c r="N2" s="153">
        <f t="shared" ref="N2:N15" si="6">(M2-20)*0.45</f>
        <v>-9</v>
      </c>
      <c r="O2" s="156">
        <f t="shared" ref="O2:O15" si="7">J2+N2</f>
        <v>41.65</v>
      </c>
      <c r="P2" s="159"/>
      <c r="Q2" s="153">
        <f t="shared" ref="Q2:Q15" si="8">(P2-K2)</f>
        <v>0</v>
      </c>
      <c r="R2" s="159"/>
      <c r="S2" s="153">
        <f t="shared" ref="S2:S15" si="9">(R2-20)*0.4</f>
        <v>-8</v>
      </c>
      <c r="T2" s="156">
        <f t="shared" ref="T2:T15" si="10">O2+S2</f>
        <v>33.65</v>
      </c>
      <c r="U2" s="155">
        <f t="shared" ref="U2:U15" si="11">P2-B2</f>
        <v>-54</v>
      </c>
      <c r="V2" s="154"/>
    </row>
    <row r="3" spans="1:22" x14ac:dyDescent="0.15">
      <c r="A3" s="160"/>
      <c r="B3" s="158"/>
      <c r="C3" s="158"/>
      <c r="D3" s="159">
        <f t="shared" si="0"/>
        <v>0</v>
      </c>
      <c r="E3" s="156">
        <f t="shared" si="1"/>
        <v>0</v>
      </c>
      <c r="F3" s="158"/>
      <c r="G3" s="153">
        <f t="shared" si="2"/>
        <v>0</v>
      </c>
      <c r="H3" s="160"/>
      <c r="I3" s="153">
        <f t="shared" si="3"/>
        <v>-3.35</v>
      </c>
      <c r="J3" s="156">
        <f t="shared" si="4"/>
        <v>-3.35</v>
      </c>
      <c r="K3" s="160"/>
      <c r="L3" s="153">
        <f t="shared" si="5"/>
        <v>0</v>
      </c>
      <c r="M3" s="160"/>
      <c r="N3" s="153">
        <f t="shared" si="6"/>
        <v>-9</v>
      </c>
      <c r="O3" s="156">
        <f t="shared" si="7"/>
        <v>-12.35</v>
      </c>
      <c r="P3" s="160"/>
      <c r="Q3" s="153">
        <f t="shared" si="8"/>
        <v>0</v>
      </c>
      <c r="R3" s="160"/>
      <c r="S3" s="153">
        <f t="shared" si="9"/>
        <v>-8</v>
      </c>
      <c r="T3" s="156">
        <f t="shared" si="10"/>
        <v>-20.350000000000001</v>
      </c>
      <c r="U3" s="155">
        <f t="shared" si="11"/>
        <v>0</v>
      </c>
      <c r="V3" s="154"/>
    </row>
    <row r="4" spans="1:22" x14ac:dyDescent="0.15">
      <c r="A4" s="160"/>
      <c r="B4" s="158"/>
      <c r="C4" s="158"/>
      <c r="D4" s="159">
        <f t="shared" si="0"/>
        <v>0</v>
      </c>
      <c r="E4" s="156">
        <f t="shared" si="1"/>
        <v>0</v>
      </c>
      <c r="F4" s="158"/>
      <c r="G4" s="153">
        <f t="shared" si="2"/>
        <v>0</v>
      </c>
      <c r="H4" s="160"/>
      <c r="I4" s="153">
        <f t="shared" si="3"/>
        <v>-3.35</v>
      </c>
      <c r="J4" s="156">
        <f t="shared" si="4"/>
        <v>-3.35</v>
      </c>
      <c r="K4" s="160"/>
      <c r="L4" s="153">
        <f t="shared" si="5"/>
        <v>0</v>
      </c>
      <c r="M4" s="160"/>
      <c r="N4" s="153">
        <f t="shared" si="6"/>
        <v>-9</v>
      </c>
      <c r="O4" s="156">
        <f t="shared" si="7"/>
        <v>-12.35</v>
      </c>
      <c r="P4" s="160"/>
      <c r="Q4" s="153">
        <f t="shared" si="8"/>
        <v>0</v>
      </c>
      <c r="R4" s="160"/>
      <c r="S4" s="153">
        <f t="shared" si="9"/>
        <v>-8</v>
      </c>
      <c r="T4" s="156">
        <f t="shared" si="10"/>
        <v>-20.350000000000001</v>
      </c>
      <c r="U4" s="155">
        <f t="shared" si="11"/>
        <v>0</v>
      </c>
      <c r="V4" s="154"/>
    </row>
    <row r="5" spans="1:22" x14ac:dyDescent="0.15">
      <c r="A5" s="160"/>
      <c r="B5" s="158"/>
      <c r="C5" s="158"/>
      <c r="D5" s="159">
        <f t="shared" si="0"/>
        <v>0</v>
      </c>
      <c r="E5" s="156">
        <f t="shared" si="1"/>
        <v>0</v>
      </c>
      <c r="F5" s="158"/>
      <c r="G5" s="153">
        <f t="shared" si="2"/>
        <v>0</v>
      </c>
      <c r="H5" s="160"/>
      <c r="I5" s="153">
        <f t="shared" si="3"/>
        <v>-3.35</v>
      </c>
      <c r="J5" s="156">
        <f t="shared" si="4"/>
        <v>-3.35</v>
      </c>
      <c r="K5" s="160"/>
      <c r="L5" s="153">
        <f t="shared" si="5"/>
        <v>0</v>
      </c>
      <c r="M5" s="160"/>
      <c r="N5" s="153">
        <f t="shared" si="6"/>
        <v>-9</v>
      </c>
      <c r="O5" s="156">
        <f t="shared" si="7"/>
        <v>-12.35</v>
      </c>
      <c r="P5" s="160"/>
      <c r="Q5" s="153">
        <f t="shared" si="8"/>
        <v>0</v>
      </c>
      <c r="R5" s="160"/>
      <c r="S5" s="153">
        <f t="shared" si="9"/>
        <v>-8</v>
      </c>
      <c r="T5" s="156">
        <f t="shared" si="10"/>
        <v>-20.350000000000001</v>
      </c>
      <c r="U5" s="155">
        <f t="shared" si="11"/>
        <v>0</v>
      </c>
      <c r="V5" s="154"/>
    </row>
    <row r="6" spans="1:22" x14ac:dyDescent="0.15">
      <c r="A6" s="160"/>
      <c r="B6" s="158"/>
      <c r="C6" s="158"/>
      <c r="D6" s="159">
        <f t="shared" si="0"/>
        <v>0</v>
      </c>
      <c r="E6" s="156">
        <f t="shared" si="1"/>
        <v>0</v>
      </c>
      <c r="F6" s="158"/>
      <c r="G6" s="153">
        <f t="shared" si="2"/>
        <v>0</v>
      </c>
      <c r="H6" s="160"/>
      <c r="I6" s="153">
        <f t="shared" si="3"/>
        <v>-3.35</v>
      </c>
      <c r="J6" s="156">
        <f t="shared" si="4"/>
        <v>-3.35</v>
      </c>
      <c r="K6" s="160"/>
      <c r="L6" s="153">
        <f t="shared" si="5"/>
        <v>0</v>
      </c>
      <c r="M6" s="160"/>
      <c r="N6" s="153">
        <f t="shared" si="6"/>
        <v>-9</v>
      </c>
      <c r="O6" s="156">
        <f t="shared" si="7"/>
        <v>-12.35</v>
      </c>
      <c r="P6" s="160"/>
      <c r="Q6" s="153">
        <f t="shared" si="8"/>
        <v>0</v>
      </c>
      <c r="R6" s="160"/>
      <c r="S6" s="153">
        <f t="shared" si="9"/>
        <v>-8</v>
      </c>
      <c r="T6" s="156">
        <f t="shared" si="10"/>
        <v>-20.350000000000001</v>
      </c>
      <c r="U6" s="155">
        <f t="shared" si="11"/>
        <v>0</v>
      </c>
      <c r="V6" s="154"/>
    </row>
    <row r="7" spans="1:22" x14ac:dyDescent="0.15">
      <c r="A7" s="160"/>
      <c r="B7" s="158"/>
      <c r="C7" s="158"/>
      <c r="D7" s="159">
        <f t="shared" si="0"/>
        <v>0</v>
      </c>
      <c r="E7" s="156">
        <f t="shared" si="1"/>
        <v>0</v>
      </c>
      <c r="F7" s="158"/>
      <c r="G7" s="153">
        <f t="shared" si="2"/>
        <v>0</v>
      </c>
      <c r="H7" s="160"/>
      <c r="I7" s="153">
        <f t="shared" si="3"/>
        <v>-3.35</v>
      </c>
      <c r="J7" s="156">
        <f t="shared" si="4"/>
        <v>-3.35</v>
      </c>
      <c r="K7" s="160"/>
      <c r="L7" s="153">
        <f t="shared" si="5"/>
        <v>0</v>
      </c>
      <c r="M7" s="160"/>
      <c r="N7" s="153">
        <f t="shared" si="6"/>
        <v>-9</v>
      </c>
      <c r="O7" s="156">
        <f t="shared" si="7"/>
        <v>-12.35</v>
      </c>
      <c r="P7" s="160"/>
      <c r="Q7" s="153">
        <f t="shared" si="8"/>
        <v>0</v>
      </c>
      <c r="R7" s="160"/>
      <c r="S7" s="153">
        <f t="shared" si="9"/>
        <v>-8</v>
      </c>
      <c r="T7" s="156">
        <f t="shared" si="10"/>
        <v>-20.350000000000001</v>
      </c>
      <c r="U7" s="155">
        <f t="shared" si="11"/>
        <v>0</v>
      </c>
      <c r="V7" s="154"/>
    </row>
    <row r="8" spans="1:22" x14ac:dyDescent="0.15">
      <c r="A8" s="160"/>
      <c r="B8" s="158"/>
      <c r="C8" s="158"/>
      <c r="D8" s="159">
        <f t="shared" si="0"/>
        <v>0</v>
      </c>
      <c r="E8" s="156">
        <f t="shared" si="1"/>
        <v>0</v>
      </c>
      <c r="F8" s="158"/>
      <c r="G8" s="153">
        <f t="shared" si="2"/>
        <v>0</v>
      </c>
      <c r="H8" s="160"/>
      <c r="I8" s="153">
        <f t="shared" si="3"/>
        <v>-3.35</v>
      </c>
      <c r="J8" s="156">
        <f t="shared" si="4"/>
        <v>-3.35</v>
      </c>
      <c r="K8" s="160"/>
      <c r="L8" s="153">
        <f t="shared" si="5"/>
        <v>0</v>
      </c>
      <c r="M8" s="160"/>
      <c r="N8" s="153">
        <f t="shared" si="6"/>
        <v>-9</v>
      </c>
      <c r="O8" s="156">
        <f t="shared" si="7"/>
        <v>-12.35</v>
      </c>
      <c r="P8" s="160"/>
      <c r="Q8" s="153">
        <f t="shared" si="8"/>
        <v>0</v>
      </c>
      <c r="R8" s="160"/>
      <c r="S8" s="153">
        <f t="shared" si="9"/>
        <v>-8</v>
      </c>
      <c r="T8" s="156">
        <f t="shared" si="10"/>
        <v>-20.350000000000001</v>
      </c>
      <c r="U8" s="155">
        <f t="shared" si="11"/>
        <v>0</v>
      </c>
      <c r="V8" s="154"/>
    </row>
    <row r="9" spans="1:22" ht="14.25" customHeight="1" x14ac:dyDescent="0.15">
      <c r="A9" s="160"/>
      <c r="B9" s="159"/>
      <c r="C9" s="159"/>
      <c r="D9" s="159">
        <f t="shared" si="0"/>
        <v>0</v>
      </c>
      <c r="E9" s="156">
        <f t="shared" si="1"/>
        <v>0</v>
      </c>
      <c r="F9" s="159"/>
      <c r="G9" s="153">
        <f t="shared" si="2"/>
        <v>0</v>
      </c>
      <c r="H9" s="158"/>
      <c r="I9" s="153">
        <f t="shared" si="3"/>
        <v>-3.35</v>
      </c>
      <c r="J9" s="156">
        <f t="shared" si="4"/>
        <v>-3.35</v>
      </c>
      <c r="K9" s="159"/>
      <c r="L9" s="153">
        <f t="shared" si="5"/>
        <v>0</v>
      </c>
      <c r="M9" s="159"/>
      <c r="N9" s="153">
        <f t="shared" si="6"/>
        <v>-9</v>
      </c>
      <c r="O9" s="156">
        <f t="shared" si="7"/>
        <v>-12.35</v>
      </c>
      <c r="P9" s="159"/>
      <c r="Q9" s="153">
        <f t="shared" si="8"/>
        <v>0</v>
      </c>
      <c r="R9" s="159"/>
      <c r="S9" s="153">
        <f t="shared" si="9"/>
        <v>-8</v>
      </c>
      <c r="T9" s="156">
        <f t="shared" si="10"/>
        <v>-20.350000000000001</v>
      </c>
      <c r="U9" s="155">
        <f t="shared" si="11"/>
        <v>0</v>
      </c>
      <c r="V9" s="154"/>
    </row>
    <row r="10" spans="1:22" x14ac:dyDescent="0.15">
      <c r="A10" s="160"/>
      <c r="B10" s="158"/>
      <c r="C10" s="158"/>
      <c r="D10" s="159">
        <f t="shared" si="0"/>
        <v>0</v>
      </c>
      <c r="E10" s="156">
        <f t="shared" si="1"/>
        <v>0</v>
      </c>
      <c r="F10" s="158"/>
      <c r="G10" s="153">
        <f t="shared" si="2"/>
        <v>0</v>
      </c>
      <c r="H10" s="160"/>
      <c r="I10" s="153">
        <f t="shared" si="3"/>
        <v>-3.35</v>
      </c>
      <c r="J10" s="156">
        <f t="shared" si="4"/>
        <v>-3.35</v>
      </c>
      <c r="K10" s="159"/>
      <c r="L10" s="153">
        <f t="shared" si="5"/>
        <v>0</v>
      </c>
      <c r="M10" s="159"/>
      <c r="N10" s="153">
        <f t="shared" si="6"/>
        <v>-9</v>
      </c>
      <c r="O10" s="156">
        <f t="shared" si="7"/>
        <v>-12.35</v>
      </c>
      <c r="P10" s="159"/>
      <c r="Q10" s="153">
        <f t="shared" si="8"/>
        <v>0</v>
      </c>
      <c r="R10" s="159"/>
      <c r="S10" s="153">
        <f t="shared" si="9"/>
        <v>-8</v>
      </c>
      <c r="T10" s="156">
        <f t="shared" si="10"/>
        <v>-20.350000000000001</v>
      </c>
      <c r="U10" s="155">
        <f t="shared" si="11"/>
        <v>0</v>
      </c>
      <c r="V10" s="154"/>
    </row>
    <row r="11" spans="1:22" x14ac:dyDescent="0.15">
      <c r="A11" s="160"/>
      <c r="B11" s="158"/>
      <c r="C11" s="158"/>
      <c r="D11" s="159">
        <f t="shared" si="0"/>
        <v>0</v>
      </c>
      <c r="E11" s="156">
        <f t="shared" si="1"/>
        <v>0</v>
      </c>
      <c r="F11" s="158"/>
      <c r="G11" s="153">
        <f t="shared" si="2"/>
        <v>0</v>
      </c>
      <c r="H11" s="160"/>
      <c r="I11" s="153">
        <f t="shared" si="3"/>
        <v>-3.35</v>
      </c>
      <c r="J11" s="156">
        <f t="shared" si="4"/>
        <v>-3.35</v>
      </c>
      <c r="K11" s="160"/>
      <c r="L11" s="153">
        <f t="shared" si="5"/>
        <v>0</v>
      </c>
      <c r="M11" s="160"/>
      <c r="N11" s="153">
        <f t="shared" si="6"/>
        <v>-9</v>
      </c>
      <c r="O11" s="156">
        <f t="shared" si="7"/>
        <v>-12.35</v>
      </c>
      <c r="P11" s="160"/>
      <c r="Q11" s="153">
        <f t="shared" si="8"/>
        <v>0</v>
      </c>
      <c r="R11" s="160"/>
      <c r="S11" s="153">
        <f t="shared" si="9"/>
        <v>-8</v>
      </c>
      <c r="T11" s="156">
        <f t="shared" si="10"/>
        <v>-20.350000000000001</v>
      </c>
      <c r="U11" s="155">
        <f t="shared" si="11"/>
        <v>0</v>
      </c>
      <c r="V11" s="154"/>
    </row>
    <row r="12" spans="1:22" x14ac:dyDescent="0.15">
      <c r="A12" s="160"/>
      <c r="B12" s="158"/>
      <c r="C12" s="158"/>
      <c r="D12" s="159">
        <f t="shared" si="0"/>
        <v>0</v>
      </c>
      <c r="E12" s="156">
        <f t="shared" si="1"/>
        <v>0</v>
      </c>
      <c r="F12" s="158"/>
      <c r="G12" s="153">
        <f t="shared" si="2"/>
        <v>0</v>
      </c>
      <c r="H12" s="160"/>
      <c r="I12" s="153">
        <f t="shared" si="3"/>
        <v>-3.35</v>
      </c>
      <c r="J12" s="156">
        <f t="shared" si="4"/>
        <v>-3.35</v>
      </c>
      <c r="K12" s="160"/>
      <c r="L12" s="153">
        <f t="shared" si="5"/>
        <v>0</v>
      </c>
      <c r="M12" s="160"/>
      <c r="N12" s="153">
        <f t="shared" si="6"/>
        <v>-9</v>
      </c>
      <c r="O12" s="156">
        <f t="shared" si="7"/>
        <v>-12.35</v>
      </c>
      <c r="P12" s="160"/>
      <c r="Q12" s="153">
        <f t="shared" si="8"/>
        <v>0</v>
      </c>
      <c r="R12" s="160"/>
      <c r="S12" s="153">
        <f t="shared" si="9"/>
        <v>-8</v>
      </c>
      <c r="T12" s="156">
        <f t="shared" si="10"/>
        <v>-20.350000000000001</v>
      </c>
      <c r="U12" s="155">
        <f t="shared" si="11"/>
        <v>0</v>
      </c>
      <c r="V12" s="154"/>
    </row>
    <row r="13" spans="1:22" x14ac:dyDescent="0.15">
      <c r="A13" s="160"/>
      <c r="B13" s="158"/>
      <c r="C13" s="158"/>
      <c r="D13" s="159">
        <f t="shared" si="0"/>
        <v>0</v>
      </c>
      <c r="E13" s="156">
        <f t="shared" si="1"/>
        <v>0</v>
      </c>
      <c r="F13" s="158"/>
      <c r="G13" s="153">
        <f t="shared" si="2"/>
        <v>0</v>
      </c>
      <c r="H13" s="160"/>
      <c r="I13" s="153">
        <f t="shared" si="3"/>
        <v>-3.35</v>
      </c>
      <c r="J13" s="156">
        <f t="shared" si="4"/>
        <v>-3.35</v>
      </c>
      <c r="K13" s="160"/>
      <c r="L13" s="153">
        <f t="shared" si="5"/>
        <v>0</v>
      </c>
      <c r="M13" s="160"/>
      <c r="N13" s="153">
        <f t="shared" si="6"/>
        <v>-9</v>
      </c>
      <c r="O13" s="156">
        <f t="shared" si="7"/>
        <v>-12.35</v>
      </c>
      <c r="P13" s="160"/>
      <c r="Q13" s="153">
        <f t="shared" si="8"/>
        <v>0</v>
      </c>
      <c r="R13" s="160"/>
      <c r="S13" s="153">
        <f t="shared" si="9"/>
        <v>-8</v>
      </c>
      <c r="T13" s="156">
        <f t="shared" si="10"/>
        <v>-20.350000000000001</v>
      </c>
      <c r="U13" s="155">
        <f t="shared" si="11"/>
        <v>0</v>
      </c>
      <c r="V13" s="154"/>
    </row>
    <row r="14" spans="1:22" x14ac:dyDescent="0.15">
      <c r="A14" s="160"/>
      <c r="B14" s="158"/>
      <c r="C14" s="158"/>
      <c r="D14" s="159">
        <f t="shared" si="0"/>
        <v>0</v>
      </c>
      <c r="E14" s="156">
        <f t="shared" si="1"/>
        <v>0</v>
      </c>
      <c r="F14" s="158"/>
      <c r="G14" s="153">
        <f t="shared" si="2"/>
        <v>0</v>
      </c>
      <c r="H14" s="157"/>
      <c r="I14" s="153">
        <f t="shared" si="3"/>
        <v>-3.35</v>
      </c>
      <c r="J14" s="156">
        <f t="shared" si="4"/>
        <v>-3.35</v>
      </c>
      <c r="K14" s="157"/>
      <c r="L14" s="153">
        <f t="shared" si="5"/>
        <v>0</v>
      </c>
      <c r="M14" s="157"/>
      <c r="N14" s="153">
        <f t="shared" si="6"/>
        <v>-9</v>
      </c>
      <c r="O14" s="156">
        <f t="shared" si="7"/>
        <v>-12.35</v>
      </c>
      <c r="P14" s="157"/>
      <c r="Q14" s="153">
        <f t="shared" si="8"/>
        <v>0</v>
      </c>
      <c r="R14" s="157"/>
      <c r="S14" s="153">
        <f t="shared" si="9"/>
        <v>-8</v>
      </c>
      <c r="T14" s="156">
        <f t="shared" si="10"/>
        <v>-20.350000000000001</v>
      </c>
      <c r="U14" s="155">
        <f t="shared" si="11"/>
        <v>0</v>
      </c>
      <c r="V14" s="154"/>
    </row>
    <row r="15" spans="1:22" x14ac:dyDescent="0.15">
      <c r="A15" s="160"/>
      <c r="B15" s="158"/>
      <c r="C15" s="158"/>
      <c r="D15" s="159">
        <f t="shared" si="0"/>
        <v>0</v>
      </c>
      <c r="E15" s="156">
        <f t="shared" si="1"/>
        <v>0</v>
      </c>
      <c r="F15" s="158"/>
      <c r="G15" s="153">
        <f t="shared" si="2"/>
        <v>0</v>
      </c>
      <c r="H15" s="157"/>
      <c r="I15" s="153">
        <f t="shared" si="3"/>
        <v>-3.35</v>
      </c>
      <c r="J15" s="156">
        <f t="shared" si="4"/>
        <v>-3.35</v>
      </c>
      <c r="K15" s="157"/>
      <c r="L15" s="153">
        <f t="shared" si="5"/>
        <v>0</v>
      </c>
      <c r="M15" s="157"/>
      <c r="N15" s="153">
        <f t="shared" si="6"/>
        <v>-9</v>
      </c>
      <c r="O15" s="156">
        <f t="shared" si="7"/>
        <v>-12.35</v>
      </c>
      <c r="P15" s="157"/>
      <c r="Q15" s="153">
        <f t="shared" si="8"/>
        <v>0</v>
      </c>
      <c r="R15" s="157"/>
      <c r="S15" s="153">
        <f t="shared" si="9"/>
        <v>-8</v>
      </c>
      <c r="T15" s="156">
        <f t="shared" si="10"/>
        <v>-20.350000000000001</v>
      </c>
      <c r="U15" s="155">
        <f t="shared" si="11"/>
        <v>0</v>
      </c>
      <c r="V15" s="154"/>
    </row>
    <row r="16" spans="1:22" x14ac:dyDescent="0.15">
      <c r="E16" s="152"/>
      <c r="F16" s="152"/>
      <c r="G16" s="149"/>
      <c r="H16" s="149"/>
      <c r="I16" s="149"/>
      <c r="K16" s="149"/>
      <c r="L16" s="149"/>
      <c r="M16" s="149"/>
      <c r="N16" s="149"/>
      <c r="O16" s="149"/>
      <c r="P16" s="149"/>
      <c r="Q16" s="149"/>
      <c r="R16" s="149"/>
      <c r="S16" s="149"/>
      <c r="V16" s="149"/>
    </row>
    <row r="17" spans="1:22" ht="24" x14ac:dyDescent="0.15">
      <c r="A17" s="153" t="s">
        <v>712</v>
      </c>
      <c r="B17" s="153" t="s">
        <v>711</v>
      </c>
      <c r="C17" s="152"/>
      <c r="D17" s="152"/>
      <c r="E17" s="152"/>
      <c r="F17" s="152"/>
      <c r="G17" s="149"/>
      <c r="H17" s="149"/>
      <c r="I17" s="149"/>
      <c r="K17" s="149"/>
      <c r="L17" s="149"/>
      <c r="M17" s="149"/>
      <c r="N17" s="149"/>
      <c r="O17" s="149"/>
      <c r="P17" s="149"/>
      <c r="Q17" s="149"/>
      <c r="R17" s="149"/>
      <c r="S17" s="149"/>
      <c r="V17" s="149"/>
    </row>
    <row r="18" spans="1:22" ht="12" x14ac:dyDescent="0.15">
      <c r="A18" s="153" t="s">
        <v>710</v>
      </c>
      <c r="B18" s="153" t="s">
        <v>709</v>
      </c>
      <c r="C18" s="152"/>
      <c r="D18" s="152"/>
      <c r="E18" s="152"/>
      <c r="F18" s="152"/>
      <c r="G18" s="149"/>
      <c r="H18" s="149"/>
      <c r="I18" s="149"/>
      <c r="K18" s="149"/>
      <c r="L18" s="149"/>
      <c r="M18" s="149"/>
      <c r="N18" s="149"/>
      <c r="O18" s="149"/>
      <c r="P18" s="149"/>
      <c r="Q18" s="149"/>
      <c r="R18" s="149"/>
      <c r="S18" s="149"/>
      <c r="V18" s="149"/>
    </row>
    <row r="19" spans="1:22" ht="12" x14ac:dyDescent="0.15">
      <c r="A19" s="153" t="s">
        <v>708</v>
      </c>
      <c r="B19" s="153" t="s">
        <v>707</v>
      </c>
      <c r="C19" s="152"/>
      <c r="D19" s="152"/>
      <c r="E19" s="152"/>
      <c r="F19" s="152"/>
      <c r="G19" s="149"/>
      <c r="H19" s="149"/>
      <c r="I19" s="149"/>
      <c r="K19" s="149"/>
      <c r="L19" s="149"/>
      <c r="M19" s="149"/>
      <c r="N19" s="149"/>
      <c r="O19" s="149"/>
      <c r="P19" s="149"/>
      <c r="Q19" s="149"/>
      <c r="R19" s="149"/>
      <c r="S19" s="149"/>
      <c r="V19" s="149"/>
    </row>
    <row r="20" spans="1:22" ht="12" x14ac:dyDescent="0.15">
      <c r="A20" s="153" t="s">
        <v>706</v>
      </c>
      <c r="B20" s="153" t="s">
        <v>705</v>
      </c>
      <c r="C20" s="152"/>
      <c r="D20" s="152"/>
      <c r="G20" s="149"/>
      <c r="H20" s="149"/>
      <c r="I20" s="149"/>
      <c r="K20" s="149"/>
      <c r="L20" s="149"/>
      <c r="M20" s="149"/>
      <c r="N20" s="149"/>
      <c r="O20" s="149"/>
      <c r="P20" s="149"/>
      <c r="Q20" s="149"/>
      <c r="R20" s="149"/>
      <c r="S20" s="149"/>
      <c r="V20" s="149"/>
    </row>
    <row r="21" spans="1:22" ht="24" x14ac:dyDescent="0.15">
      <c r="G21" s="149"/>
      <c r="H21" s="149"/>
      <c r="I21" s="149" t="s">
        <v>704</v>
      </c>
      <c r="J21" s="148" t="s">
        <v>703</v>
      </c>
      <c r="K21" s="149" t="s">
        <v>702</v>
      </c>
      <c r="L21" s="149"/>
      <c r="M21" s="149"/>
      <c r="N21" s="149"/>
      <c r="O21" s="149"/>
      <c r="P21" s="149"/>
      <c r="Q21" s="149"/>
      <c r="R21" s="149"/>
      <c r="S21" s="149"/>
      <c r="V21" s="149"/>
    </row>
    <row r="22" spans="1:22" ht="12" x14ac:dyDescent="0.15">
      <c r="G22" s="149"/>
      <c r="H22" s="149" t="s">
        <v>701</v>
      </c>
      <c r="I22" s="149">
        <f>F2</f>
        <v>0</v>
      </c>
      <c r="J22" s="148">
        <f>K2</f>
        <v>0</v>
      </c>
      <c r="K22" s="149">
        <f>P2</f>
        <v>0</v>
      </c>
      <c r="L22" s="149"/>
      <c r="M22" s="149"/>
      <c r="N22" s="149"/>
      <c r="O22" s="149"/>
      <c r="P22" s="149"/>
      <c r="Q22" s="149"/>
      <c r="R22" s="149"/>
      <c r="S22" s="149"/>
      <c r="U22" s="149"/>
    </row>
    <row r="23" spans="1:22" ht="12" x14ac:dyDescent="0.15">
      <c r="G23" s="149"/>
      <c r="H23" s="149" t="s">
        <v>700</v>
      </c>
      <c r="I23" s="150">
        <f>J2</f>
        <v>50.65</v>
      </c>
      <c r="J23" s="151">
        <f>O2</f>
        <v>41.65</v>
      </c>
      <c r="K23" s="150">
        <f>T2</f>
        <v>33.65</v>
      </c>
      <c r="L23" s="149"/>
      <c r="M23" s="149"/>
      <c r="N23" s="149"/>
      <c r="O23" s="149"/>
      <c r="P23" s="149"/>
      <c r="Q23" s="149"/>
      <c r="R23" s="149"/>
      <c r="S23" s="149"/>
      <c r="U23" s="149"/>
    </row>
    <row r="24" spans="1:22" x14ac:dyDescent="0.15">
      <c r="G24" s="149"/>
      <c r="H24" s="149"/>
      <c r="I24" s="149"/>
      <c r="K24" s="149"/>
      <c r="L24" s="149"/>
      <c r="M24" s="149"/>
      <c r="N24" s="149"/>
      <c r="O24" s="149"/>
      <c r="P24" s="149"/>
      <c r="Q24" s="149"/>
      <c r="R24" s="149"/>
      <c r="S24" s="149"/>
      <c r="U24" s="149"/>
    </row>
    <row r="25" spans="1:22" x14ac:dyDescent="0.15">
      <c r="G25" s="149"/>
      <c r="H25" s="149"/>
      <c r="I25" s="149"/>
      <c r="K25" s="149"/>
      <c r="L25" s="149"/>
      <c r="M25" s="149"/>
      <c r="N25" s="149"/>
      <c r="O25" s="149"/>
      <c r="P25" s="149"/>
      <c r="Q25" s="149"/>
      <c r="R25" s="149"/>
      <c r="S25" s="149"/>
      <c r="U25" s="149"/>
    </row>
    <row r="26" spans="1:22" x14ac:dyDescent="0.15">
      <c r="G26" s="149"/>
      <c r="H26" s="149"/>
      <c r="I26" s="149"/>
      <c r="K26" s="149"/>
      <c r="L26" s="149"/>
      <c r="M26" s="149"/>
      <c r="N26" s="149"/>
      <c r="O26" s="149"/>
      <c r="P26" s="149"/>
      <c r="Q26" s="149"/>
      <c r="R26" s="149"/>
      <c r="S26" s="149"/>
      <c r="U26" s="149"/>
    </row>
    <row r="27" spans="1:22" x14ac:dyDescent="0.15">
      <c r="G27" s="149"/>
      <c r="H27" s="149"/>
      <c r="I27" s="149"/>
      <c r="K27" s="149"/>
      <c r="L27" s="149"/>
      <c r="M27" s="149"/>
      <c r="N27" s="149"/>
      <c r="O27" s="149"/>
      <c r="P27" s="149"/>
      <c r="Q27" s="149"/>
      <c r="R27" s="149"/>
      <c r="S27" s="149"/>
      <c r="U27" s="149"/>
    </row>
    <row r="28" spans="1:22" x14ac:dyDescent="0.15">
      <c r="G28" s="149"/>
      <c r="H28" s="149"/>
      <c r="I28" s="149"/>
      <c r="K28" s="149"/>
      <c r="L28" s="149"/>
      <c r="M28" s="149"/>
      <c r="N28" s="149"/>
      <c r="O28" s="149"/>
      <c r="P28" s="149"/>
      <c r="Q28" s="149"/>
      <c r="R28" s="149"/>
      <c r="S28" s="149"/>
      <c r="U28" s="149"/>
    </row>
    <row r="29" spans="1:22" x14ac:dyDescent="0.15">
      <c r="G29" s="149"/>
      <c r="H29" s="149"/>
      <c r="I29" s="149"/>
      <c r="K29" s="149"/>
      <c r="L29" s="149"/>
      <c r="M29" s="149"/>
      <c r="N29" s="149"/>
      <c r="O29" s="149"/>
      <c r="P29" s="149"/>
      <c r="Q29" s="149"/>
      <c r="R29" s="149"/>
      <c r="S29" s="149"/>
      <c r="U29" s="149"/>
    </row>
    <row r="30" spans="1:22" x14ac:dyDescent="0.15">
      <c r="G30" s="149"/>
      <c r="H30" s="149"/>
      <c r="I30" s="149"/>
      <c r="K30" s="149"/>
      <c r="L30" s="149"/>
      <c r="M30" s="149"/>
      <c r="N30" s="149"/>
      <c r="O30" s="149"/>
      <c r="P30" s="149"/>
      <c r="Q30" s="149"/>
      <c r="R30" s="149"/>
      <c r="S30" s="149"/>
      <c r="U30" s="149"/>
    </row>
    <row r="31" spans="1:22" x14ac:dyDescent="0.15">
      <c r="G31" s="149"/>
      <c r="H31" s="149"/>
      <c r="I31" s="149"/>
      <c r="K31" s="149"/>
      <c r="L31" s="149"/>
      <c r="M31" s="149"/>
      <c r="N31" s="149"/>
      <c r="O31" s="149"/>
      <c r="P31" s="149"/>
      <c r="Q31" s="149"/>
      <c r="R31" s="149"/>
      <c r="S31" s="149"/>
    </row>
  </sheetData>
  <pageMargins left="0.78740157499999996" right="0.78740157499999996" top="0.984251969" bottom="0.984251969" header="0.49212598499999999" footer="0.4921259849999999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20</vt:i4>
      </vt:variant>
    </vt:vector>
  </HeadingPairs>
  <TitlesOfParts>
    <vt:vector size="33" baseType="lpstr">
      <vt:lpstr>QPC</vt:lpstr>
      <vt:lpstr>Informações gerais</vt:lpstr>
      <vt:lpstr>Sinais e sintomas </vt:lpstr>
      <vt:lpstr>Exames </vt:lpstr>
      <vt:lpstr>medidas</vt:lpstr>
      <vt:lpstr>Hábitos alimentares</vt:lpstr>
      <vt:lpstr>Antropometria</vt:lpstr>
      <vt:lpstr>Cálculos</vt:lpstr>
      <vt:lpstr>P1</vt:lpstr>
      <vt:lpstr>Formulas</vt:lpstr>
      <vt:lpstr>Porções</vt:lpstr>
      <vt:lpstr>Orientações</vt:lpstr>
      <vt:lpstr>Ganho peso gest</vt:lpstr>
      <vt:lpstr>°CARNE.lanche</vt:lpstr>
      <vt:lpstr>°LEITE.LIGHT</vt:lpstr>
      <vt:lpstr>°QUEIJO.light</vt:lpstr>
      <vt:lpstr>°SUCO.light</vt:lpstr>
      <vt:lpstr>CARBOIDRATO</vt:lpstr>
      <vt:lpstr>EVENTUAL</vt:lpstr>
      <vt:lpstr>Frases</vt:lpstr>
      <vt:lpstr>FRUTA</vt:lpstr>
      <vt:lpstr>GORDURA</vt:lpstr>
      <vt:lpstr>GRUPOS</vt:lpstr>
      <vt:lpstr>LEGUME</vt:lpstr>
      <vt:lpstr>LEGUMINOSA</vt:lpstr>
      <vt:lpstr>LEITE</vt:lpstr>
      <vt:lpstr>OUTROS</vt:lpstr>
      <vt:lpstr>PASTASºPATÊS</vt:lpstr>
      <vt:lpstr>PROTEÍNA</vt:lpstr>
      <vt:lpstr>SEMENTESºFARELOS</vt:lpstr>
      <vt:lpstr>SUCO</vt:lpstr>
      <vt:lpstr>SUPLEMENTOS</vt:lpstr>
      <vt:lpstr>VERDURA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Isis</dc:creator>
  <cp:keywords/>
  <dc:description/>
  <cp:lastModifiedBy>alineperesnutricionista@outlook.com</cp:lastModifiedBy>
  <cp:lastPrinted>2015-01-14T19:04:57Z</cp:lastPrinted>
  <dcterms:created xsi:type="dcterms:W3CDTF">2012-03-19T19:17:07Z</dcterms:created>
  <dcterms:modified xsi:type="dcterms:W3CDTF">2025-10-07T12:36:14Z</dcterms:modified>
  <cp:category/>
</cp:coreProperties>
</file>